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W Lab Dropbox\Ruey-Kuang Cheng\CNA_KaiXin\light dark\20220119 - 20220120 7 - 8dpf - Acute 40% transparency\"/>
    </mc:Choice>
  </mc:AlternateContent>
  <xr:revisionPtr revIDLastSave="0" documentId="13_ncr:1_{A73D6164-51A1-4B62-95B9-767803BD7800}" xr6:coauthVersionLast="47" xr6:coauthVersionMax="47" xr10:uidLastSave="{00000000-0000-0000-0000-000000000000}"/>
  <bookViews>
    <workbookView xWindow="-120" yWindow="-120" windowWidth="26580" windowHeight="16440" tabRatio="602" activeTab="1" xr2:uid="{00000000-000D-0000-FFFF-FFFF00000000}"/>
  </bookViews>
  <sheets>
    <sheet name="Settings" sheetId="1" r:id="rId1"/>
    <sheet name="Group Data" sheetId="2" r:id="rId2"/>
    <sheet name="Dark Entry Data" sheetId="3" r:id="rId3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J32" i="2" l="1"/>
  <c r="CI32" i="2"/>
  <c r="CH34" i="2"/>
  <c r="CH33" i="2"/>
  <c r="CH32" i="2"/>
  <c r="CG34" i="2"/>
  <c r="CG33" i="2"/>
  <c r="CG32" i="2"/>
  <c r="CF34" i="2"/>
  <c r="CF33" i="2"/>
  <c r="CF32" i="2"/>
  <c r="CE34" i="2"/>
  <c r="CE33" i="2"/>
  <c r="CE32" i="2"/>
  <c r="CD34" i="2"/>
  <c r="CD33" i="2"/>
  <c r="CD32" i="2"/>
  <c r="CC34" i="2"/>
  <c r="CC33" i="2"/>
  <c r="CC32" i="2"/>
  <c r="CB34" i="2"/>
  <c r="CB33" i="2"/>
  <c r="CB32" i="2"/>
  <c r="CA34" i="2"/>
  <c r="CA33" i="2"/>
  <c r="CA32" i="2"/>
  <c r="BZ34" i="2"/>
  <c r="BZ33" i="2"/>
  <c r="BZ32" i="2"/>
  <c r="BY34" i="2"/>
  <c r="BY33" i="2"/>
  <c r="BY32" i="2"/>
  <c r="BX34" i="2"/>
  <c r="BX33" i="2"/>
  <c r="BX32" i="2"/>
  <c r="BW34" i="2"/>
  <c r="BW33" i="2"/>
  <c r="BW32" i="2"/>
  <c r="BV34" i="2"/>
  <c r="BV33" i="2"/>
  <c r="BV32" i="2"/>
  <c r="BU34" i="2"/>
  <c r="BU33" i="2"/>
  <c r="BU32" i="2"/>
  <c r="BT34" i="2"/>
  <c r="BT33" i="2"/>
  <c r="BT32" i="2"/>
  <c r="BS34" i="2"/>
  <c r="BS33" i="2"/>
  <c r="BS32" i="2"/>
  <c r="BR34" i="2"/>
  <c r="BR33" i="2"/>
  <c r="BR32" i="2"/>
  <c r="BQ34" i="2"/>
  <c r="BQ33" i="2"/>
  <c r="BQ32" i="2"/>
  <c r="BP34" i="2"/>
  <c r="BP33" i="2"/>
  <c r="BP32" i="2"/>
  <c r="BO34" i="2"/>
  <c r="BO33" i="2"/>
  <c r="BO32" i="2"/>
  <c r="BN34" i="2"/>
  <c r="BN33" i="2"/>
  <c r="BN32" i="2"/>
  <c r="BM34" i="2"/>
  <c r="BM33" i="2"/>
  <c r="BM32" i="2"/>
  <c r="BL34" i="2"/>
  <c r="BL33" i="2"/>
  <c r="BL32" i="2"/>
  <c r="BK34" i="2"/>
  <c r="BK33" i="2"/>
  <c r="BK32" i="2"/>
  <c r="BJ34" i="2"/>
  <c r="BJ33" i="2"/>
  <c r="BJ32" i="2"/>
  <c r="BF32" i="2"/>
  <c r="BE32" i="2"/>
  <c r="BE33" i="2" s="1"/>
  <c r="BD34" i="2"/>
  <c r="BD33" i="2"/>
  <c r="BD32" i="2"/>
  <c r="BC34" i="2"/>
  <c r="BC33" i="2"/>
  <c r="BC32" i="2"/>
  <c r="BB34" i="2"/>
  <c r="BB33" i="2"/>
  <c r="BB32" i="2"/>
  <c r="BA34" i="2"/>
  <c r="BA33" i="2"/>
  <c r="BA32" i="2"/>
  <c r="AZ34" i="2"/>
  <c r="AZ33" i="2"/>
  <c r="AZ32" i="2"/>
  <c r="AY34" i="2"/>
  <c r="AY33" i="2"/>
  <c r="AY32" i="2"/>
  <c r="AX34" i="2"/>
  <c r="AX33" i="2"/>
  <c r="AX32" i="2"/>
  <c r="AW34" i="2"/>
  <c r="AW33" i="2"/>
  <c r="AW32" i="2"/>
  <c r="AV34" i="2"/>
  <c r="AV33" i="2"/>
  <c r="AV32" i="2"/>
  <c r="AU34" i="2"/>
  <c r="AU33" i="2"/>
  <c r="AU32" i="2"/>
  <c r="AT34" i="2"/>
  <c r="AT33" i="2"/>
  <c r="AT32" i="2"/>
  <c r="AS34" i="2"/>
  <c r="AS33" i="2"/>
  <c r="AS32" i="2"/>
  <c r="AR34" i="2"/>
  <c r="AR33" i="2"/>
  <c r="AR32" i="2"/>
  <c r="AQ34" i="2"/>
  <c r="AQ33" i="2"/>
  <c r="AQ32" i="2"/>
  <c r="AP34" i="2"/>
  <c r="AP33" i="2"/>
  <c r="AP32" i="2"/>
  <c r="AO34" i="2"/>
  <c r="AO33" i="2"/>
  <c r="AO32" i="2"/>
  <c r="AN34" i="2"/>
  <c r="AN33" i="2"/>
  <c r="AN32" i="2"/>
  <c r="AM34" i="2"/>
  <c r="AM33" i="2"/>
  <c r="AM32" i="2"/>
  <c r="AL34" i="2"/>
  <c r="AL33" i="2"/>
  <c r="AL32" i="2"/>
  <c r="AK34" i="2"/>
  <c r="AK33" i="2"/>
  <c r="AK32" i="2"/>
  <c r="AJ34" i="2"/>
  <c r="AJ33" i="2"/>
  <c r="AJ32" i="2"/>
  <c r="AI34" i="2"/>
  <c r="AI33" i="2"/>
  <c r="AI32" i="2"/>
  <c r="AH34" i="2"/>
  <c r="AH33" i="2"/>
  <c r="AH32" i="2"/>
  <c r="AG34" i="2"/>
  <c r="AG33" i="2"/>
  <c r="AG32" i="2"/>
  <c r="AF34" i="2"/>
  <c r="AF33" i="2"/>
  <c r="AF32" i="2"/>
  <c r="AB34" i="2"/>
  <c r="AB33" i="2"/>
  <c r="AB32" i="2"/>
  <c r="AA34" i="2"/>
  <c r="AA33" i="2"/>
  <c r="AA32" i="2"/>
  <c r="Z34" i="2"/>
  <c r="Z33" i="2"/>
  <c r="Z32" i="2"/>
  <c r="Y34" i="2"/>
  <c r="Y33" i="2"/>
  <c r="Y32" i="2"/>
  <c r="X34" i="2"/>
  <c r="X33" i="2"/>
  <c r="X32" i="2"/>
  <c r="W34" i="2"/>
  <c r="W33" i="2"/>
  <c r="W32" i="2"/>
  <c r="V34" i="2"/>
  <c r="V33" i="2"/>
  <c r="V32" i="2"/>
  <c r="U34" i="2"/>
  <c r="U33" i="2"/>
  <c r="U32" i="2"/>
  <c r="T34" i="2"/>
  <c r="T33" i="2"/>
  <c r="T32" i="2"/>
  <c r="S34" i="2"/>
  <c r="S33" i="2"/>
  <c r="S32" i="2"/>
  <c r="R34" i="2"/>
  <c r="R33" i="2"/>
  <c r="R32" i="2"/>
  <c r="Q34" i="2"/>
  <c r="Q33" i="2"/>
  <c r="Q32" i="2"/>
  <c r="P34" i="2"/>
  <c r="P33" i="2"/>
  <c r="P32" i="2"/>
  <c r="O34" i="2"/>
  <c r="O33" i="2"/>
  <c r="O32" i="2"/>
  <c r="N34" i="2"/>
  <c r="N33" i="2"/>
  <c r="N32" i="2"/>
  <c r="M34" i="2"/>
  <c r="M33" i="2"/>
  <c r="M32" i="2"/>
  <c r="L34" i="2"/>
  <c r="L33" i="2"/>
  <c r="L32" i="2"/>
  <c r="K34" i="2"/>
  <c r="K33" i="2"/>
  <c r="K32" i="2"/>
  <c r="J34" i="2"/>
  <c r="J33" i="2"/>
  <c r="J32" i="2"/>
  <c r="I34" i="2"/>
  <c r="I33" i="2"/>
  <c r="I32" i="2"/>
  <c r="H34" i="2"/>
  <c r="H33" i="2"/>
  <c r="H32" i="2"/>
  <c r="G34" i="2"/>
  <c r="G33" i="2"/>
  <c r="G32" i="2"/>
  <c r="F34" i="2"/>
  <c r="F33" i="2"/>
  <c r="F32" i="2"/>
  <c r="E34" i="2"/>
  <c r="E33" i="2"/>
  <c r="E32" i="2"/>
  <c r="D34" i="2"/>
  <c r="D33" i="2"/>
  <c r="D32" i="2"/>
  <c r="C34" i="2"/>
  <c r="C33" i="2"/>
  <c r="C32" i="2"/>
  <c r="B34" i="2"/>
  <c r="B33" i="2"/>
  <c r="B32" i="2"/>
  <c r="CI33" i="2" l="1"/>
  <c r="CI34" i="2" s="1"/>
  <c r="CJ33" i="2"/>
  <c r="CJ34" i="2" s="1"/>
  <c r="BE34" i="2"/>
  <c r="BF33" i="2"/>
  <c r="BF34" i="2" s="1"/>
</calcChain>
</file>

<file path=xl/sharedStrings.xml><?xml version="1.0" encoding="utf-8"?>
<sst xmlns="http://schemas.openxmlformats.org/spreadsheetml/2006/main" count="427" uniqueCount="107">
  <si>
    <t>Back up file name arrays</t>
  </si>
  <si>
    <t>Group-1</t>
  </si>
  <si>
    <t>Group-2</t>
  </si>
  <si>
    <t>Group-3</t>
  </si>
  <si>
    <t>Group-4</t>
  </si>
  <si>
    <t>Group-5</t>
  </si>
  <si>
    <t>How many groups</t>
  </si>
  <si>
    <t>Group Name</t>
  </si>
  <si>
    <t>Tank#</t>
  </si>
  <si>
    <t>Step 1</t>
  </si>
  <si>
    <t>Step-2</t>
  </si>
  <si>
    <t>Step-3</t>
  </si>
  <si>
    <t>Step-4</t>
  </si>
  <si>
    <t>Start Time</t>
  </si>
  <si>
    <t>End Time</t>
  </si>
  <si>
    <t>Specify the number of fish in this group</t>
  </si>
  <si>
    <t>Specify the folder name</t>
  </si>
  <si>
    <t>Specify the file name</t>
  </si>
  <si>
    <t>Group-6</t>
  </si>
  <si>
    <t>0mM</t>
  </si>
  <si>
    <t>50mM</t>
  </si>
  <si>
    <t>100mM</t>
  </si>
  <si>
    <t>Rectangluar Wells (R) or Circle Wells (C)?</t>
  </si>
  <si>
    <t>Group-7</t>
  </si>
  <si>
    <t>Group-8</t>
  </si>
  <si>
    <t>Group-9</t>
  </si>
  <si>
    <t>Group-10</t>
  </si>
  <si>
    <t>Group-11</t>
  </si>
  <si>
    <t>Group-12</t>
  </si>
  <si>
    <t>G4</t>
  </si>
  <si>
    <t>G5</t>
  </si>
  <si>
    <t>G7</t>
  </si>
  <si>
    <t>G6</t>
  </si>
  <si>
    <t>G8</t>
  </si>
  <si>
    <t>G9</t>
  </si>
  <si>
    <t>G10</t>
  </si>
  <si>
    <t>G11</t>
  </si>
  <si>
    <t>G12</t>
  </si>
  <si>
    <t>Group-13</t>
  </si>
  <si>
    <t>G13</t>
  </si>
  <si>
    <t>Group-14</t>
  </si>
  <si>
    <t>G14</t>
  </si>
  <si>
    <t>G15</t>
  </si>
  <si>
    <t>Group-15</t>
  </si>
  <si>
    <t>Group-16</t>
  </si>
  <si>
    <t>G16</t>
  </si>
  <si>
    <t>Group-1-0mM</t>
  </si>
  <si>
    <t>Light %</t>
  </si>
  <si>
    <t>Dark %</t>
  </si>
  <si>
    <t>Total Distance (mm)</t>
  </si>
  <si>
    <t>Entering Dark</t>
  </si>
  <si>
    <t>Dark Speed (mm/sec)</t>
  </si>
  <si>
    <t>Light Speed (mm/sec)</t>
  </si>
  <si>
    <t>Whole-Tank Center Duration (sec)</t>
  </si>
  <si>
    <t>Whole-Tank Wall Duration (sec)</t>
  </si>
  <si>
    <t>Erratic Episodes (freq)</t>
  </si>
  <si>
    <t>First Cross Time (Sec)</t>
  </si>
  <si>
    <t>Total Thigmotaxis Ratio</t>
  </si>
  <si>
    <t>LightSide Thigmotaxis Ratio</t>
  </si>
  <si>
    <t>LightSide Center Duration (sec)</t>
  </si>
  <si>
    <t>LightSide Wall Duration (sec)</t>
  </si>
  <si>
    <t>LightSide Total Duration (sec)</t>
  </si>
  <si>
    <t>LightSide Center Freezing Duration (sec)</t>
  </si>
  <si>
    <t>LightSide Wall Freezing Duration (sec)</t>
  </si>
  <si>
    <t>LightSide Center Freezing Episode (freq)</t>
  </si>
  <si>
    <t>LightSide Wall Freezing Episode (freq)</t>
  </si>
  <si>
    <t>Tank-1</t>
  </si>
  <si>
    <t>Tank-2</t>
  </si>
  <si>
    <t>Tank-3</t>
  </si>
  <si>
    <t>Tank-4</t>
  </si>
  <si>
    <t>Tank-5</t>
  </si>
  <si>
    <t>Tank-6</t>
  </si>
  <si>
    <t>Mean</t>
  </si>
  <si>
    <t>Std</t>
  </si>
  <si>
    <t>SEM</t>
  </si>
  <si>
    <t>Group-2-50mM</t>
  </si>
  <si>
    <t>Group-3-100mM</t>
  </si>
  <si>
    <t>%</t>
  </si>
  <si>
    <t>Crossing Time (sec)</t>
  </si>
  <si>
    <t>Serial #</t>
  </si>
  <si>
    <t>C</t>
  </si>
  <si>
    <t>D:\CW Lab Dropbox\Ruey-Kuang Cheng\CNA_KaiXin\light dark\20220119 - 20220120 7 - 8dpf - Acute 40% transparency\meta analysis excels</t>
  </si>
  <si>
    <t>90/90</t>
  </si>
  <si>
    <t>20220119 0mM G1 All Light 7dpf_Mid_Corrected_v1.5.</t>
  </si>
  <si>
    <t>20220119 50mM G1 All Light 7dpf_Mid_Corrected_v1.5.</t>
  </si>
  <si>
    <t>20220119 150mM G1 All Light 7dpf_Mid_Corrected_v1.5.</t>
  </si>
  <si>
    <t>20220119 0mM G2 All Light 7dpf_Mid_Corrected_v1.5.</t>
  </si>
  <si>
    <t>20220119 50mM G2 All Light 7dpf_Mid_Corrected_v1.5.</t>
  </si>
  <si>
    <t>20220119 150mM G2 All Light 7dpf_Mid_Corrected_v1.5.</t>
  </si>
  <si>
    <t>20220119 0mM G3 All Light 7dpf_Mid_Corrected_v1.5.</t>
  </si>
  <si>
    <t>20220119 50mM G3 All Light 7dpf_Mid_Corrected_v1.5.</t>
  </si>
  <si>
    <t>20220119 150mM G3 All Light 7dpf_Mid_Corrected_v1.5.</t>
  </si>
  <si>
    <t>20220120 0mM G4 All Light 8dpf_Mid_Corrected_v1.5.</t>
  </si>
  <si>
    <t>20220120 50mM G4 All Light 8dpf_Mid_Corrected_v1.5.</t>
  </si>
  <si>
    <t>20220120 150mM G4 All Light 8dpf_Mid_Corrected_v1.5.</t>
  </si>
  <si>
    <t>20220120 0mM G5 All Light 8dpf_Mid_Corrected_v1.5.</t>
  </si>
  <si>
    <t>20220120 50mM G5 All Light 8dpf_Mid_Corrected_v1.5.</t>
  </si>
  <si>
    <t>20220120 150mM G5 All Light 8dpf_Mid_Corrected_v1.5.</t>
  </si>
  <si>
    <t>LightSide Center Freezing Ratio</t>
  </si>
  <si>
    <t>LightSide Wall Freezing Ratio</t>
  </si>
  <si>
    <t>LightSide Center Freezing Rate</t>
  </si>
  <si>
    <t>LightSide Wall Freezing Rate</t>
  </si>
  <si>
    <t>LightSide Overall Freezing Ratio</t>
  </si>
  <si>
    <t>LightSide Escape Episodes</t>
  </si>
  <si>
    <t>Analyzed by Light-Dark Meta Analysis_AL_Acute_40%_CW_v1.3a.xlsm</t>
  </si>
  <si>
    <t>LightSide Center Escape Episodes</t>
  </si>
  <si>
    <t>LightSide Wall Escape Episodes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</si>
</sst>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0.0%"/>
    <numFmt numFmtId="168" formatCode="0.0"/>
  </numFmts>
  <fonts count="15" x14ac:knownFonts="1">
    <font>
      <sz val="10"/>
      <name val="Arial"/>
      <family val="2"/>
    </font>
    <font>
      <sz val="1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  <font>
      <sz val="24"/>
      <color rgb="FFFF0000"/>
      <name val="Arial"/>
      <family val="2"/>
    </font>
    <font>
      <b/>
      <sz val="11"/>
      <name val="Calibri"/>
      <family val="2"/>
      <scheme val="minor"/>
    </font>
    <font>
      <b/>
      <sz val="25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b/>
      <sz val="24"/>
      <color rgb="FFFF0000"/>
      <name val="Arial"/>
      <family val="2"/>
    </font>
    <font>
      <b/>
      <sz val="26"/>
      <name val="Arial"/>
      <family val="2"/>
    </font>
    <font>
      <b/>
      <sz val="22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7">
    <xf numFmtId="0" fontId="0" fillId="0" borderId="0" xfId="0"/>
    <xf numFmtId="165" fontId="0" fillId="0" borderId="0" xfId="1" applyNumberFormat="1" applyFont="1"/>
    <xf numFmtId="166" fontId="0" fillId="0" borderId="0" xfId="1" applyNumberFormat="1" applyFont="1"/>
    <xf numFmtId="1" fontId="0" fillId="0" borderId="0" xfId="1" applyNumberFormat="1" applyFont="1" applyFill="1"/>
    <xf numFmtId="1" fontId="3" fillId="0" borderId="0" xfId="1" applyNumberFormat="1" applyFont="1" applyFill="1"/>
    <xf numFmtId="165" fontId="0" fillId="9" borderId="0" xfId="1" applyNumberFormat="1" applyFont="1" applyFill="1"/>
    <xf numFmtId="166" fontId="3" fillId="0" borderId="0" xfId="1" applyNumberFormat="1" applyFont="1"/>
    <xf numFmtId="1" fontId="1" fillId="0" borderId="0" xfId="1" applyNumberFormat="1" applyFont="1" applyFill="1"/>
    <xf numFmtId="0" fontId="0" fillId="0" borderId="0" xfId="0"/>
    <xf numFmtId="0" fontId="6" fillId="0" borderId="0" xfId="0" applyFont="1"/>
    <xf numFmtId="0" fontId="0" fillId="0" borderId="0" xfId="0" quotePrefix="1"/>
    <xf numFmtId="1" fontId="0" fillId="0" borderId="0" xfId="2" applyNumberFormat="1" applyFont="1" applyFill="1"/>
    <xf numFmtId="1" fontId="0" fillId="0" borderId="0" xfId="2" applyNumberFormat="1" applyFont="1" applyFill="1" applyBorder="1" applyAlignment="1"/>
    <xf numFmtId="0" fontId="7" fillId="2" borderId="0" xfId="0" applyFont="1" applyFill="1"/>
    <xf numFmtId="0" fontId="9" fillId="3" borderId="0" xfId="0" applyFont="1" applyFill="1" applyAlignment="1">
      <alignment horizontal="left"/>
    </xf>
    <xf numFmtId="0" fontId="9" fillId="9" borderId="0" xfId="0" applyFont="1" applyFill="1"/>
    <xf numFmtId="0" fontId="8" fillId="0" borderId="0" xfId="0" applyFont="1" applyAlignment="1">
      <alignment horizontal="right"/>
    </xf>
    <xf numFmtId="0" fontId="8" fillId="0" borderId="0" xfId="0" quotePrefix="1" applyFont="1" applyAlignment="1">
      <alignment horizontal="right"/>
    </xf>
    <xf numFmtId="19" fontId="8" fillId="0" borderId="0" xfId="0" applyNumberFormat="1" applyFont="1"/>
    <xf numFmtId="1" fontId="0" fillId="0" borderId="0" xfId="0" applyNumberFormat="1" applyFill="1"/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9" fillId="3" borderId="0" xfId="0" applyFont="1" applyFill="1"/>
    <xf numFmtId="0" fontId="7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" fontId="0" fillId="0" borderId="0" xfId="0" applyNumberFormat="1" applyFill="1" applyAlignment="1"/>
    <xf numFmtId="0" fontId="7" fillId="2" borderId="0" xfId="0" applyFont="1" applyFill="1"/>
    <xf numFmtId="0" fontId="9" fillId="3" borderId="0" xfId="0" applyFont="1" applyFill="1" applyAlignment="1">
      <alignment horizontal="left"/>
    </xf>
    <xf numFmtId="1" fontId="5" fillId="0" borderId="0" xfId="0" applyNumberFormat="1" applyFont="1" applyFill="1" applyAlignment="1">
      <alignment wrapText="1"/>
    </xf>
    <xf numFmtId="1" fontId="3" fillId="0" borderId="0" xfId="1" applyNumberFormat="1" applyFont="1" applyFill="1" applyAlignment="1">
      <alignment wrapText="1"/>
    </xf>
    <xf numFmtId="0" fontId="12" fillId="3" borderId="0" xfId="0" applyFont="1" applyFill="1" applyAlignment="1">
      <alignment horizontal="center"/>
    </xf>
    <xf numFmtId="0" fontId="7" fillId="2" borderId="0" xfId="0" applyFont="1" applyFill="1"/>
    <xf numFmtId="0" fontId="9" fillId="3" borderId="0" xfId="0" applyFont="1" applyFill="1" applyAlignment="1">
      <alignment horizontal="left"/>
    </xf>
    <xf numFmtId="0" fontId="7" fillId="0" borderId="0" xfId="0" applyFont="1"/>
    <xf numFmtId="0" fontId="7" fillId="2" borderId="0" xfId="0" applyFont="1" applyFill="1"/>
    <xf numFmtId="0" fontId="9" fillId="3" borderId="0" xfId="0" applyFont="1" applyFill="1" applyAlignment="1">
      <alignment horizontal="left"/>
    </xf>
    <xf numFmtId="165" fontId="3" fillId="0" borderId="0" xfId="1" applyNumberFormat="1" applyFont="1" applyAlignment="1">
      <alignment wrapText="1"/>
    </xf>
    <xf numFmtId="167" fontId="0" fillId="0" borderId="0" xfId="1" applyNumberFormat="1" applyFont="1" applyFill="1"/>
    <xf numFmtId="168" fontId="0" fillId="0" borderId="0" xfId="1" applyNumberFormat="1" applyFont="1" applyFill="1"/>
    <xf numFmtId="2" fontId="0" fillId="0" borderId="0" xfId="1" applyNumberFormat="1" applyFont="1" applyFill="1"/>
    <xf numFmtId="1" fontId="0" fillId="11" borderId="0" xfId="1" applyNumberFormat="1" applyFont="1" applyFill="1"/>
    <xf numFmtId="167" fontId="0" fillId="0" borderId="0" xfId="2" applyNumberFormat="1" applyFont="1" applyFill="1"/>
    <xf numFmtId="167" fontId="0" fillId="0" borderId="0" xfId="0" applyNumberFormat="1" applyFill="1"/>
    <xf numFmtId="0" fontId="7" fillId="2" borderId="0" xfId="0" applyFont="1" applyFill="1"/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left"/>
    </xf>
    <xf numFmtId="1" fontId="13" fillId="0" borderId="0" xfId="1" applyNumberFormat="1" applyFont="1" applyFill="1"/>
    <xf numFmtId="0" fontId="14" fillId="0" borderId="0" xfId="0" applyFont="1"/>
    <xf numFmtId="0" fontId="5" fillId="3" borderId="0" xfId="0" applyFont="1" applyFill="1"/>
    <xf numFmtId="0" fontId="5" fillId="3" borderId="0" xfId="0" applyFont="1" applyFill="1" applyAlignment="1">
      <alignment horizontal="center"/>
    </xf>
    <xf numFmtId="167" fontId="1" fillId="0" borderId="0" xfId="1" applyNumberFormat="1" applyFont="1" applyFill="1"/>
    <xf numFmtId="168" fontId="1" fillId="0" borderId="0" xfId="1" applyNumberFormat="1" applyFont="1" applyFill="1"/>
    <xf numFmtId="2" fontId="1" fillId="0" borderId="0" xfId="1" applyNumberFormat="1" applyFont="1" applyFill="1"/>
    <xf numFmtId="168" fontId="0" fillId="0" borderId="0" xfId="0" applyNumberFormat="1" applyFill="1"/>
    <xf numFmtId="2" fontId="0" fillId="0" borderId="0" xfId="0" applyNumberFormat="1" applyFill="1"/>
    <xf numFmtId="167" fontId="3" fillId="0" borderId="0" xfId="1" applyNumberFormat="1" applyFont="1" applyFill="1"/>
    <xf numFmtId="168" fontId="3" fillId="0" borderId="0" xfId="1" applyNumberFormat="1" applyFont="1" applyFill="1"/>
    <xf numFmtId="2" fontId="3" fillId="0" borderId="0" xfId="1" applyNumberFormat="1" applyFont="1" applyFill="1"/>
    <xf numFmtId="1" fontId="0" fillId="11" borderId="0" xfId="0" applyNumberFormat="1" applyFill="1"/>
    <xf numFmtId="1" fontId="3" fillId="11" borderId="0" xfId="1" applyNumberFormat="1" applyFont="1" applyFill="1"/>
    <xf numFmtId="1" fontId="0" fillId="0" borderId="0" xfId="0" applyNumberFormat="1" applyFill="1" applyAlignment="1">
      <alignment horizontal="center"/>
    </xf>
    <xf numFmtId="0" fontId="9" fillId="3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10" fillId="6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  <xf numFmtId="0" fontId="7" fillId="2" borderId="0" xfId="0" applyFont="1" applyFill="1"/>
    <xf numFmtId="0" fontId="4" fillId="8" borderId="0" xfId="0" applyFont="1" applyFill="1" applyAlignment="1">
      <alignment horizontal="center"/>
    </xf>
    <xf numFmtId="0" fontId="4" fillId="10" borderId="0" xfId="0" applyFont="1" applyFill="1" applyAlignment="1">
      <alignment horizontal="center"/>
    </xf>
    <xf numFmtId="0" fontId="4" fillId="6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9" fillId="3" borderId="0" xfId="0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1" fontId="0" fillId="0" borderId="0" xfId="0" applyNumberFormat="1" applyFill="1" applyAlignment="1">
      <alignment horizontal="center"/>
    </xf>
  </cellXfs>
  <cellStyles count="5">
    <cellStyle name="Comma" xfId="1" builtinId="3"/>
    <cellStyle name="Comma 2" xfId="3" xr:uid="{00000000-0005-0000-0000-000001000000}"/>
    <cellStyle name="Comma 2 2" xfId="4" xr:uid="{00000000-0005-0000-0000-000002000000}"/>
    <cellStyle name="Normal" xfId="0" builtinId="0"/>
    <cellStyle name="Percent" xfId="2" builtinId="5"/>
  </cellStyles>
  <dxfs count="0"/>
  <tableStyles count="0" defaultTableStyle="TableStyleMedium9" defaultPivotStyle="PivotStyleLight16"/>
  <colors>
    <mruColors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2400" b="1"/>
              <a:t>Siblings </a:t>
            </a:r>
            <a:r>
              <a:rPr lang="en-US" sz="2400" b="1" baseline="0"/>
              <a:t>E3- vs. AS-</a:t>
            </a:r>
            <a:r>
              <a:rPr lang="en-US" altLang="zh-TW" sz="2400" b="1" baseline="0"/>
              <a:t>Treated</a:t>
            </a:r>
            <a:endParaRPr lang="en-SG" sz="2400" b="1"/>
          </a:p>
        </c:rich>
      </c:tx>
      <c:layout>
        <c:manualLayout>
          <c:xMode val="edge"/>
          <c:yMode val="edge"/>
          <c:x val="9.2600858786912474E-2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317521020498287"/>
          <c:y val="0.10931955439083885"/>
          <c:w val="0.8160499095871413"/>
          <c:h val="0.7287698778005412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'Dark Entry Data'!$D$1:$F$1</c:f>
              <c:strCache>
                <c:ptCount val="1"/>
                <c:pt idx="0">
                  <c:v>50mM</c:v>
                </c:pt>
              </c:strCache>
            </c:strRef>
          </c:tx>
          <c:spPr>
            <a:ln w="508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50800">
                <a:solidFill>
                  <a:schemeClr val="accent2"/>
                </a:solidFill>
              </a:ln>
              <a:effectLst/>
            </c:spPr>
          </c:marker>
          <c:xVal>
            <c:numRef>
              <c:f>'Dark Entry Data'!$E$3:$E$42</c:f>
              <c:numCache>
                <c:formatCode>0</c:formatCode>
                <c:ptCount val="40"/>
                <c:pt idx="0">
                  <c:v>235</c:v>
                </c:pt>
                <c:pt idx="1">
                  <c:v>179</c:v>
                </c:pt>
                <c:pt idx="2">
                  <c:v>117</c:v>
                </c:pt>
                <c:pt idx="3">
                  <c:v>100</c:v>
                </c:pt>
                <c:pt idx="4">
                  <c:v>94</c:v>
                </c:pt>
                <c:pt idx="5">
                  <c:v>78</c:v>
                </c:pt>
                <c:pt idx="6">
                  <c:v>78</c:v>
                </c:pt>
                <c:pt idx="7">
                  <c:v>46</c:v>
                </c:pt>
                <c:pt idx="8">
                  <c:v>46</c:v>
                </c:pt>
                <c:pt idx="9">
                  <c:v>43</c:v>
                </c:pt>
                <c:pt idx="10">
                  <c:v>40</c:v>
                </c:pt>
                <c:pt idx="11">
                  <c:v>39</c:v>
                </c:pt>
                <c:pt idx="12">
                  <c:v>36</c:v>
                </c:pt>
                <c:pt idx="13">
                  <c:v>33</c:v>
                </c:pt>
                <c:pt idx="14">
                  <c:v>25</c:v>
                </c:pt>
                <c:pt idx="15">
                  <c:v>22</c:v>
                </c:pt>
                <c:pt idx="16">
                  <c:v>21</c:v>
                </c:pt>
                <c:pt idx="17">
                  <c:v>21</c:v>
                </c:pt>
                <c:pt idx="18">
                  <c:v>20</c:v>
                </c:pt>
                <c:pt idx="19">
                  <c:v>19</c:v>
                </c:pt>
                <c:pt idx="20">
                  <c:v>19</c:v>
                </c:pt>
                <c:pt idx="21">
                  <c:v>17</c:v>
                </c:pt>
                <c:pt idx="22">
                  <c:v>15</c:v>
                </c:pt>
                <c:pt idx="23">
                  <c:v>12</c:v>
                </c:pt>
                <c:pt idx="24">
                  <c:v>10</c:v>
                </c:pt>
                <c:pt idx="25">
                  <c:v>9</c:v>
                </c:pt>
                <c:pt idx="26">
                  <c:v>4</c:v>
                </c:pt>
                <c:pt idx="27">
                  <c:v>4</c:v>
                </c:pt>
                <c:pt idx="28">
                  <c:v>2</c:v>
                </c:pt>
                <c:pt idx="29">
                  <c:v>1</c:v>
                </c:pt>
              </c:numCache>
            </c:numRef>
          </c:xVal>
          <c:yVal>
            <c:numRef>
              <c:f>'Dark Entry Data'!$D$3:$D$42</c:f>
              <c:numCache>
                <c:formatCode>0.0%</c:formatCode>
                <c:ptCount val="40"/>
                <c:pt idx="0">
                  <c:v>1</c:v>
                </c:pt>
                <c:pt idx="1">
                  <c:v>0.96699999999999997</c:v>
                </c:pt>
                <c:pt idx="2">
                  <c:v>0.93300000000000005</c:v>
                </c:pt>
                <c:pt idx="3">
                  <c:v>0.9</c:v>
                </c:pt>
                <c:pt idx="4">
                  <c:v>0.86699999999999999</c:v>
                </c:pt>
                <c:pt idx="5">
                  <c:v>0.83299999999999996</c:v>
                </c:pt>
                <c:pt idx="6">
                  <c:v>0.8</c:v>
                </c:pt>
                <c:pt idx="7">
                  <c:v>0.76700000000000002</c:v>
                </c:pt>
                <c:pt idx="8">
                  <c:v>0.73299999999999998</c:v>
                </c:pt>
                <c:pt idx="9">
                  <c:v>0.7</c:v>
                </c:pt>
                <c:pt idx="10">
                  <c:v>0.66700000000000004</c:v>
                </c:pt>
                <c:pt idx="11">
                  <c:v>0.63300000000000001</c:v>
                </c:pt>
                <c:pt idx="12">
                  <c:v>0.6</c:v>
                </c:pt>
                <c:pt idx="13">
                  <c:v>0.56699999999999995</c:v>
                </c:pt>
                <c:pt idx="14">
                  <c:v>0.53300000000000003</c:v>
                </c:pt>
                <c:pt idx="15">
                  <c:v>0.5</c:v>
                </c:pt>
                <c:pt idx="16">
                  <c:v>0.46700000000000003</c:v>
                </c:pt>
                <c:pt idx="17">
                  <c:v>0.433</c:v>
                </c:pt>
                <c:pt idx="18">
                  <c:v>0.4</c:v>
                </c:pt>
                <c:pt idx="19">
                  <c:v>0.36699999999999999</c:v>
                </c:pt>
                <c:pt idx="20">
                  <c:v>0.33300000000000002</c:v>
                </c:pt>
                <c:pt idx="21">
                  <c:v>0.3</c:v>
                </c:pt>
                <c:pt idx="22">
                  <c:v>0.26700000000000002</c:v>
                </c:pt>
                <c:pt idx="23">
                  <c:v>0.23300000000000001</c:v>
                </c:pt>
                <c:pt idx="24">
                  <c:v>0.2</c:v>
                </c:pt>
                <c:pt idx="25">
                  <c:v>0.16700000000000001</c:v>
                </c:pt>
                <c:pt idx="26">
                  <c:v>0.13300000000000001</c:v>
                </c:pt>
                <c:pt idx="27">
                  <c:v>0.1</c:v>
                </c:pt>
                <c:pt idx="28">
                  <c:v>6.7000000000000004E-2</c:v>
                </c:pt>
                <c:pt idx="29">
                  <c:v>3.3000000000000002E-2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37-43B2-8FFF-B6A234013ED0}"/>
            </c:ext>
          </c:extLst>
        </c:ser>
        <c:ser>
          <c:idx val="4"/>
          <c:order val="1"/>
          <c:tx>
            <c:strRef>
              <c:f>'Dark Entry Data'!$A$1:$C$1</c:f>
              <c:strCache>
                <c:ptCount val="1"/>
                <c:pt idx="0">
                  <c:v>0mM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8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'Dark Entry Data'!$B$3:$B$42</c:f>
              <c:numCache>
                <c:formatCode>0</c:formatCode>
                <c:ptCount val="40"/>
                <c:pt idx="0">
                  <c:v>600</c:v>
                </c:pt>
                <c:pt idx="1">
                  <c:v>194</c:v>
                </c:pt>
                <c:pt idx="2">
                  <c:v>185</c:v>
                </c:pt>
                <c:pt idx="3">
                  <c:v>101</c:v>
                </c:pt>
                <c:pt idx="4">
                  <c:v>91</c:v>
                </c:pt>
                <c:pt idx="5">
                  <c:v>69</c:v>
                </c:pt>
                <c:pt idx="6">
                  <c:v>65</c:v>
                </c:pt>
                <c:pt idx="7">
                  <c:v>65</c:v>
                </c:pt>
                <c:pt idx="8">
                  <c:v>58</c:v>
                </c:pt>
                <c:pt idx="9">
                  <c:v>54</c:v>
                </c:pt>
                <c:pt idx="10">
                  <c:v>49</c:v>
                </c:pt>
                <c:pt idx="11">
                  <c:v>37</c:v>
                </c:pt>
                <c:pt idx="12">
                  <c:v>33</c:v>
                </c:pt>
                <c:pt idx="13">
                  <c:v>32</c:v>
                </c:pt>
                <c:pt idx="14">
                  <c:v>29</c:v>
                </c:pt>
                <c:pt idx="15">
                  <c:v>29</c:v>
                </c:pt>
                <c:pt idx="16">
                  <c:v>27</c:v>
                </c:pt>
                <c:pt idx="17">
                  <c:v>27</c:v>
                </c:pt>
                <c:pt idx="18">
                  <c:v>25</c:v>
                </c:pt>
                <c:pt idx="19">
                  <c:v>25</c:v>
                </c:pt>
                <c:pt idx="20">
                  <c:v>23</c:v>
                </c:pt>
                <c:pt idx="21">
                  <c:v>21</c:v>
                </c:pt>
                <c:pt idx="22">
                  <c:v>20</c:v>
                </c:pt>
                <c:pt idx="23">
                  <c:v>13</c:v>
                </c:pt>
                <c:pt idx="24">
                  <c:v>8</c:v>
                </c:pt>
                <c:pt idx="25">
                  <c:v>7</c:v>
                </c:pt>
                <c:pt idx="26">
                  <c:v>6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</c:numCache>
            </c:numRef>
          </c:xVal>
          <c:yVal>
            <c:numRef>
              <c:f>'Dark Entry Data'!$A$3:$A$42</c:f>
              <c:numCache>
                <c:formatCode>0.0%</c:formatCode>
                <c:ptCount val="40"/>
                <c:pt idx="0">
                  <c:v>1</c:v>
                </c:pt>
                <c:pt idx="1">
                  <c:v>0.96699999999999997</c:v>
                </c:pt>
                <c:pt idx="2">
                  <c:v>0.93300000000000005</c:v>
                </c:pt>
                <c:pt idx="3">
                  <c:v>0.9</c:v>
                </c:pt>
                <c:pt idx="4">
                  <c:v>0.86699999999999999</c:v>
                </c:pt>
                <c:pt idx="5">
                  <c:v>0.83299999999999996</c:v>
                </c:pt>
                <c:pt idx="6">
                  <c:v>0.8</c:v>
                </c:pt>
                <c:pt idx="7">
                  <c:v>0.76700000000000002</c:v>
                </c:pt>
                <c:pt idx="8">
                  <c:v>0.73299999999999998</c:v>
                </c:pt>
                <c:pt idx="9">
                  <c:v>0.7</c:v>
                </c:pt>
                <c:pt idx="10">
                  <c:v>0.66700000000000004</c:v>
                </c:pt>
                <c:pt idx="11">
                  <c:v>0.63300000000000001</c:v>
                </c:pt>
                <c:pt idx="12">
                  <c:v>0.6</c:v>
                </c:pt>
                <c:pt idx="13">
                  <c:v>0.56699999999999995</c:v>
                </c:pt>
                <c:pt idx="14">
                  <c:v>0.53300000000000003</c:v>
                </c:pt>
                <c:pt idx="15">
                  <c:v>0.5</c:v>
                </c:pt>
                <c:pt idx="16">
                  <c:v>0.46700000000000003</c:v>
                </c:pt>
                <c:pt idx="17">
                  <c:v>0.433</c:v>
                </c:pt>
                <c:pt idx="18">
                  <c:v>0.4</c:v>
                </c:pt>
                <c:pt idx="19">
                  <c:v>0.36699999999999999</c:v>
                </c:pt>
                <c:pt idx="20">
                  <c:v>0.33300000000000002</c:v>
                </c:pt>
                <c:pt idx="21">
                  <c:v>0.3</c:v>
                </c:pt>
                <c:pt idx="22">
                  <c:v>0.26700000000000002</c:v>
                </c:pt>
                <c:pt idx="23">
                  <c:v>0.23300000000000001</c:v>
                </c:pt>
                <c:pt idx="24">
                  <c:v>0.2</c:v>
                </c:pt>
                <c:pt idx="25">
                  <c:v>0.16700000000000001</c:v>
                </c:pt>
                <c:pt idx="26">
                  <c:v>0.13300000000000001</c:v>
                </c:pt>
                <c:pt idx="27">
                  <c:v>0.1</c:v>
                </c:pt>
                <c:pt idx="28">
                  <c:v>6.7000000000000004E-2</c:v>
                </c:pt>
                <c:pt idx="29">
                  <c:v>3.3000000000000002E-2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7B-419E-AFD0-EBF1E6155713}"/>
            </c:ext>
          </c:extLst>
        </c:ser>
        <c:ser>
          <c:idx val="0"/>
          <c:order val="2"/>
          <c:tx>
            <c:strRef>
              <c:f>'Dark Entry Data'!$G$1:$I$1</c:f>
              <c:strCache>
                <c:ptCount val="1"/>
                <c:pt idx="0">
                  <c:v>100mM</c:v>
                </c:pt>
              </c:strCache>
            </c:strRef>
          </c:tx>
          <c:spPr>
            <a:ln w="38100"/>
          </c:spPr>
          <c:marker>
            <c:spPr>
              <a:ln w="34925"/>
            </c:spPr>
          </c:marker>
          <c:xVal>
            <c:numRef>
              <c:f>'Dark Entry Data'!$H$3:$H$42</c:f>
              <c:numCache>
                <c:formatCode>0</c:formatCode>
                <c:ptCount val="40"/>
                <c:pt idx="0">
                  <c:v>569</c:v>
                </c:pt>
                <c:pt idx="1">
                  <c:v>355</c:v>
                </c:pt>
                <c:pt idx="2">
                  <c:v>217</c:v>
                </c:pt>
                <c:pt idx="3">
                  <c:v>142</c:v>
                </c:pt>
                <c:pt idx="4">
                  <c:v>126</c:v>
                </c:pt>
                <c:pt idx="5">
                  <c:v>88</c:v>
                </c:pt>
                <c:pt idx="6">
                  <c:v>81</c:v>
                </c:pt>
                <c:pt idx="7">
                  <c:v>68</c:v>
                </c:pt>
                <c:pt idx="8">
                  <c:v>53</c:v>
                </c:pt>
                <c:pt idx="9">
                  <c:v>50</c:v>
                </c:pt>
                <c:pt idx="10">
                  <c:v>44</c:v>
                </c:pt>
                <c:pt idx="11">
                  <c:v>41</c:v>
                </c:pt>
                <c:pt idx="12">
                  <c:v>39</c:v>
                </c:pt>
                <c:pt idx="13">
                  <c:v>30</c:v>
                </c:pt>
                <c:pt idx="14">
                  <c:v>23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18</c:v>
                </c:pt>
                <c:pt idx="19">
                  <c:v>14</c:v>
                </c:pt>
                <c:pt idx="20">
                  <c:v>14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  <c:pt idx="26">
                  <c:v>5</c:v>
                </c:pt>
                <c:pt idx="27">
                  <c:v>5</c:v>
                </c:pt>
                <c:pt idx="28">
                  <c:v>4</c:v>
                </c:pt>
                <c:pt idx="29">
                  <c:v>2</c:v>
                </c:pt>
              </c:numCache>
            </c:numRef>
          </c:xVal>
          <c:yVal>
            <c:numRef>
              <c:f>'Dark Entry Data'!$G$3:$G$42</c:f>
              <c:numCache>
                <c:formatCode>0.0%</c:formatCode>
                <c:ptCount val="40"/>
                <c:pt idx="0">
                  <c:v>1</c:v>
                </c:pt>
                <c:pt idx="1">
                  <c:v>0.96699999999999997</c:v>
                </c:pt>
                <c:pt idx="2">
                  <c:v>0.93300000000000005</c:v>
                </c:pt>
                <c:pt idx="3">
                  <c:v>0.9</c:v>
                </c:pt>
                <c:pt idx="4">
                  <c:v>0.86699999999999999</c:v>
                </c:pt>
                <c:pt idx="5">
                  <c:v>0.83299999999999996</c:v>
                </c:pt>
                <c:pt idx="6">
                  <c:v>0.8</c:v>
                </c:pt>
                <c:pt idx="7">
                  <c:v>0.76700000000000002</c:v>
                </c:pt>
                <c:pt idx="8">
                  <c:v>0.73299999999999998</c:v>
                </c:pt>
                <c:pt idx="9">
                  <c:v>0.7</c:v>
                </c:pt>
                <c:pt idx="10">
                  <c:v>0.66700000000000004</c:v>
                </c:pt>
                <c:pt idx="11">
                  <c:v>0.63300000000000001</c:v>
                </c:pt>
                <c:pt idx="12">
                  <c:v>0.6</c:v>
                </c:pt>
                <c:pt idx="13">
                  <c:v>0.56699999999999995</c:v>
                </c:pt>
                <c:pt idx="14">
                  <c:v>0.53300000000000003</c:v>
                </c:pt>
                <c:pt idx="15">
                  <c:v>0.5</c:v>
                </c:pt>
                <c:pt idx="16">
                  <c:v>0.46700000000000003</c:v>
                </c:pt>
                <c:pt idx="17">
                  <c:v>0.433</c:v>
                </c:pt>
                <c:pt idx="18">
                  <c:v>0.4</c:v>
                </c:pt>
                <c:pt idx="19">
                  <c:v>0.36699999999999999</c:v>
                </c:pt>
                <c:pt idx="20">
                  <c:v>0.33300000000000002</c:v>
                </c:pt>
                <c:pt idx="21">
                  <c:v>0.3</c:v>
                </c:pt>
                <c:pt idx="22">
                  <c:v>0.26700000000000002</c:v>
                </c:pt>
                <c:pt idx="23">
                  <c:v>0.23300000000000001</c:v>
                </c:pt>
                <c:pt idx="24">
                  <c:v>0.2</c:v>
                </c:pt>
                <c:pt idx="25">
                  <c:v>0.16700000000000001</c:v>
                </c:pt>
                <c:pt idx="26">
                  <c:v>0.13300000000000001</c:v>
                </c:pt>
                <c:pt idx="27">
                  <c:v>0.1</c:v>
                </c:pt>
                <c:pt idx="28">
                  <c:v>6.7000000000000004E-2</c:v>
                </c:pt>
                <c:pt idx="29">
                  <c:v>3.3000000000000002E-2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89-4465-A525-4DC54563E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32320"/>
        <c:axId val="199834240"/>
      </c:scatterChart>
      <c:valAx>
        <c:axId val="199832320"/>
        <c:scaling>
          <c:orientation val="minMax"/>
          <c:max val="6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sz="1800" b="1"/>
                  <a:t>Time</a:t>
                </a:r>
                <a:r>
                  <a:rPr lang="en-SG" sz="1800" b="1" baseline="0"/>
                  <a:t> (in seconds)</a:t>
                </a:r>
                <a:endParaRPr lang="en-SG" sz="1800" b="1"/>
              </a:p>
            </c:rich>
          </c:tx>
          <c:layout>
            <c:manualLayout>
              <c:xMode val="edge"/>
              <c:yMode val="edge"/>
              <c:x val="0.29000157321950426"/>
              <c:y val="0.925280933503271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34240"/>
        <c:crosses val="autoZero"/>
        <c:crossBetween val="midCat"/>
      </c:valAx>
      <c:valAx>
        <c:axId val="199834240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 sz="1800" b="1"/>
                  <a:t>Cumulative percent entry to</a:t>
                </a:r>
                <a:r>
                  <a:rPr lang="en-US" altLang="zh-TW" sz="1800" b="1" baseline="0"/>
                  <a:t> dark</a:t>
                </a:r>
                <a:endParaRPr lang="en-SG" sz="1800" b="1"/>
              </a:p>
            </c:rich>
          </c:tx>
          <c:layout>
            <c:manualLayout>
              <c:xMode val="edge"/>
              <c:yMode val="edge"/>
              <c:x val="1.493942029889633E-4"/>
              <c:y val="0.168452090633594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3232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875003248878252"/>
          <c:y val="0.5304747499058946"/>
          <c:w val="0.17297148527298878"/>
          <c:h val="0.22151120372575647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9525</xdr:rowOff>
        </xdr:from>
        <xdr:to>
          <xdr:col>5</xdr:col>
          <xdr:colOff>19050</xdr:colOff>
          <xdr:row>1</xdr:row>
          <xdr:rowOff>361950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2</xdr:row>
          <xdr:rowOff>47625</xdr:rowOff>
        </xdr:from>
        <xdr:to>
          <xdr:col>5</xdr:col>
          <xdr:colOff>257175</xdr:colOff>
          <xdr:row>3</xdr:row>
          <xdr:rowOff>19050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95396</xdr:colOff>
      <xdr:row>27</xdr:row>
      <xdr:rowOff>74833</xdr:rowOff>
    </xdr:from>
    <xdr:to>
      <xdr:col>18</xdr:col>
      <xdr:colOff>39221</xdr:colOff>
      <xdr:row>57</xdr:row>
      <xdr:rowOff>142266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81"/>
  <sheetViews>
    <sheetView zoomScale="70" zoomScaleNormal="70" workbookViewId="0">
      <selection activeCell="H2" sqref="H2"/>
    </sheetView>
  </sheetViews>
  <sheetFormatPr defaultColWidth="9.140625" defaultRowHeight="12.75" x14ac:dyDescent="0.2"/>
  <cols>
    <col min="1" max="1" width="10.7109375" style="8" customWidth="1"/>
    <col min="2" max="2" width="63" style="8" customWidth="1"/>
    <col min="3" max="3" width="19.85546875" style="8" bestFit="1" customWidth="1"/>
    <col min="4" max="4" width="9.85546875" style="8" customWidth="1"/>
    <col min="5" max="5" width="9.28515625" style="8" customWidth="1"/>
    <col min="6" max="6" width="12" style="8" customWidth="1"/>
    <col min="7" max="7" width="65.28515625" style="8" customWidth="1"/>
    <col min="8" max="8" width="18.7109375" style="8" bestFit="1" customWidth="1"/>
    <col min="9" max="9" width="11.7109375" style="8" bestFit="1" customWidth="1"/>
    <col min="10" max="10" width="5.5703125" style="8" customWidth="1"/>
    <col min="11" max="11" width="12.28515625" style="8" bestFit="1" customWidth="1"/>
    <col min="12" max="12" width="74.28515625" style="8" customWidth="1"/>
    <col min="13" max="13" width="18.7109375" style="8" bestFit="1" customWidth="1"/>
    <col min="14" max="15" width="10.7109375" style="8" customWidth="1"/>
    <col min="16" max="16" width="12.28515625" style="8" bestFit="1" customWidth="1"/>
    <col min="17" max="17" width="67.42578125" style="8" customWidth="1"/>
    <col min="18" max="18" width="18.7109375" style="8" bestFit="1" customWidth="1"/>
    <col min="19" max="20" width="10.7109375" style="8" customWidth="1"/>
    <col min="21" max="21" width="12.28515625" style="8" bestFit="1" customWidth="1"/>
    <col min="22" max="22" width="64.28515625" style="8" customWidth="1"/>
    <col min="23" max="23" width="18.7109375" style="8" bestFit="1" customWidth="1"/>
    <col min="24" max="25" width="10.7109375" style="8" customWidth="1"/>
    <col min="26" max="26" width="12.28515625" style="8" bestFit="1" customWidth="1"/>
    <col min="27" max="27" width="64.28515625" style="8" customWidth="1"/>
    <col min="28" max="28" width="18.7109375" style="8" bestFit="1" customWidth="1"/>
    <col min="29" max="30" width="10.7109375" style="8" customWidth="1"/>
    <col min="31" max="31" width="12.28515625" style="8" bestFit="1" customWidth="1"/>
    <col min="32" max="32" width="64.28515625" style="8" customWidth="1"/>
    <col min="33" max="33" width="18.7109375" style="8" bestFit="1" customWidth="1"/>
    <col min="34" max="35" width="10.7109375" style="8" customWidth="1"/>
    <col min="36" max="36" width="9.140625" style="8"/>
    <col min="37" max="37" width="64.28515625" style="8" customWidth="1"/>
    <col min="38" max="38" width="18.7109375" style="8" bestFit="1" customWidth="1"/>
    <col min="39" max="40" width="10.7109375" style="8" customWidth="1"/>
    <col min="41" max="41" width="9.140625" style="8"/>
    <col min="42" max="42" width="64.28515625" style="8" customWidth="1"/>
    <col min="43" max="43" width="18.7109375" style="8" bestFit="1" customWidth="1"/>
    <col min="44" max="45" width="10.7109375" style="8" customWidth="1"/>
    <col min="46" max="46" width="9.140625" style="8"/>
    <col min="47" max="47" width="64.28515625" style="8" customWidth="1"/>
    <col min="48" max="48" width="18.7109375" style="8" bestFit="1" customWidth="1"/>
    <col min="49" max="50" width="10.7109375" style="8" customWidth="1"/>
    <col min="51" max="51" width="12.28515625" style="8" bestFit="1" customWidth="1"/>
    <col min="52" max="52" width="64.28515625" style="8" customWidth="1"/>
    <col min="53" max="53" width="18.7109375" style="8" bestFit="1" customWidth="1"/>
    <col min="54" max="55" width="10.7109375" style="8" customWidth="1"/>
    <col min="56" max="56" width="12.28515625" style="8" bestFit="1" customWidth="1"/>
    <col min="57" max="57" width="64.28515625" style="8" customWidth="1"/>
    <col min="58" max="58" width="18.7109375" style="8" bestFit="1" customWidth="1"/>
    <col min="59" max="60" width="10.7109375" style="8" customWidth="1"/>
    <col min="61" max="61" width="12.28515625" style="8" bestFit="1" customWidth="1"/>
    <col min="62" max="62" width="64.28515625" style="8" customWidth="1"/>
    <col min="63" max="63" width="18.7109375" style="8" bestFit="1" customWidth="1"/>
    <col min="64" max="65" width="10.7109375" style="8" customWidth="1"/>
    <col min="66" max="66" width="9.140625" style="8"/>
    <col min="67" max="67" width="64.28515625" style="8" customWidth="1"/>
    <col min="68" max="68" width="18.7109375" style="8" bestFit="1" customWidth="1"/>
    <col min="69" max="70" width="10.7109375" style="8" customWidth="1"/>
    <col min="71" max="71" width="9.140625" style="8"/>
    <col min="72" max="72" width="64.28515625" style="8" customWidth="1"/>
    <col min="73" max="73" width="18.7109375" style="8" bestFit="1" customWidth="1"/>
    <col min="74" max="75" width="10.7109375" style="8" customWidth="1"/>
    <col min="76" max="76" width="9.140625" style="8"/>
    <col min="77" max="77" width="64.28515625" style="8" customWidth="1"/>
    <col min="78" max="78" width="18.7109375" style="8" bestFit="1" customWidth="1"/>
    <col min="79" max="80" width="10.7109375" style="8" customWidth="1"/>
    <col min="81" max="16384" width="9.140625" style="8"/>
  </cols>
  <sheetData>
    <row r="1" spans="1:80" ht="30" x14ac:dyDescent="0.4">
      <c r="A1" s="13" t="s">
        <v>9</v>
      </c>
      <c r="B1" s="75" t="s">
        <v>6</v>
      </c>
      <c r="C1" s="75"/>
      <c r="G1" s="16" t="s">
        <v>104</v>
      </c>
      <c r="H1" s="18">
        <v>0.72388888888888892</v>
      </c>
      <c r="I1" s="18" t="s">
        <v>13</v>
      </c>
      <c r="K1" s="71" t="s">
        <v>22</v>
      </c>
      <c r="L1" s="71"/>
      <c r="M1" s="71"/>
      <c r="N1" s="31" t="s">
        <v>80</v>
      </c>
    </row>
    <row r="2" spans="1:80" ht="33.75" x14ac:dyDescent="0.5">
      <c r="B2" s="74">
        <v>3</v>
      </c>
      <c r="C2" s="74"/>
      <c r="G2" s="17" t="s">
        <v>82</v>
      </c>
      <c r="H2" s="18">
        <v>0.72430555555555554</v>
      </c>
      <c r="I2" s="18" t="s">
        <v>14</v>
      </c>
    </row>
    <row r="3" spans="1:80" ht="30" x14ac:dyDescent="0.4">
      <c r="A3" s="64" t="s">
        <v>1</v>
      </c>
      <c r="B3" s="64"/>
      <c r="C3" s="64"/>
      <c r="D3" s="64"/>
      <c r="E3" s="64"/>
      <c r="F3" s="65" t="s">
        <v>2</v>
      </c>
      <c r="G3" s="65"/>
      <c r="H3" s="65"/>
      <c r="I3" s="65"/>
      <c r="J3" s="65"/>
      <c r="K3" s="66" t="s">
        <v>3</v>
      </c>
      <c r="L3" s="66"/>
      <c r="M3" s="66"/>
      <c r="N3" s="66"/>
      <c r="O3" s="66"/>
      <c r="P3" s="67" t="s">
        <v>4</v>
      </c>
      <c r="Q3" s="67"/>
      <c r="R3" s="67"/>
      <c r="S3" s="67"/>
      <c r="T3" s="67"/>
      <c r="U3" s="69" t="s">
        <v>5</v>
      </c>
      <c r="V3" s="69"/>
      <c r="W3" s="69"/>
      <c r="X3" s="69"/>
      <c r="Y3" s="69"/>
      <c r="Z3" s="70" t="s">
        <v>18</v>
      </c>
      <c r="AA3" s="70"/>
      <c r="AB3" s="70"/>
      <c r="AC3" s="70"/>
      <c r="AD3" s="70"/>
      <c r="AE3" s="64" t="s">
        <v>23</v>
      </c>
      <c r="AF3" s="64"/>
      <c r="AG3" s="64"/>
      <c r="AH3" s="64"/>
      <c r="AI3" s="64"/>
      <c r="AJ3" s="65" t="s">
        <v>24</v>
      </c>
      <c r="AK3" s="65"/>
      <c r="AL3" s="65"/>
      <c r="AM3" s="65"/>
      <c r="AN3" s="65"/>
      <c r="AO3" s="66" t="s">
        <v>25</v>
      </c>
      <c r="AP3" s="66"/>
      <c r="AQ3" s="66"/>
      <c r="AR3" s="66"/>
      <c r="AS3" s="66"/>
      <c r="AT3" s="67" t="s">
        <v>26</v>
      </c>
      <c r="AU3" s="67"/>
      <c r="AV3" s="67"/>
      <c r="AW3" s="67"/>
      <c r="AX3" s="67"/>
      <c r="AY3" s="69" t="s">
        <v>27</v>
      </c>
      <c r="AZ3" s="69"/>
      <c r="BA3" s="69"/>
      <c r="BB3" s="69"/>
      <c r="BC3" s="69"/>
      <c r="BD3" s="70" t="s">
        <v>28</v>
      </c>
      <c r="BE3" s="70"/>
      <c r="BF3" s="70"/>
      <c r="BG3" s="70"/>
      <c r="BH3" s="70"/>
      <c r="BI3" s="64" t="s">
        <v>38</v>
      </c>
      <c r="BJ3" s="64"/>
      <c r="BK3" s="64"/>
      <c r="BL3" s="64"/>
      <c r="BM3" s="64"/>
      <c r="BN3" s="65" t="s">
        <v>40</v>
      </c>
      <c r="BO3" s="65"/>
      <c r="BP3" s="65"/>
      <c r="BQ3" s="65"/>
      <c r="BR3" s="65"/>
      <c r="BS3" s="66" t="s">
        <v>43</v>
      </c>
      <c r="BT3" s="66"/>
      <c r="BU3" s="66"/>
      <c r="BV3" s="66"/>
      <c r="BW3" s="66"/>
      <c r="BX3" s="67" t="s">
        <v>44</v>
      </c>
      <c r="BY3" s="67"/>
      <c r="BZ3" s="67"/>
      <c r="CA3" s="67"/>
      <c r="CB3" s="67"/>
    </row>
    <row r="4" spans="1:80" ht="18" x14ac:dyDescent="0.25">
      <c r="A4" s="13" t="s">
        <v>10</v>
      </c>
      <c r="B4" s="68" t="s">
        <v>15</v>
      </c>
      <c r="C4" s="68"/>
      <c r="D4" s="68"/>
      <c r="E4" s="68"/>
      <c r="F4" s="13" t="s">
        <v>10</v>
      </c>
      <c r="G4" s="68" t="s">
        <v>15</v>
      </c>
      <c r="H4" s="68"/>
      <c r="I4" s="68"/>
      <c r="J4" s="68"/>
      <c r="K4" s="13" t="s">
        <v>10</v>
      </c>
      <c r="L4" s="68" t="s">
        <v>15</v>
      </c>
      <c r="M4" s="68"/>
      <c r="N4" s="68"/>
      <c r="O4" s="68"/>
      <c r="P4" s="13" t="s">
        <v>10</v>
      </c>
      <c r="Q4" s="68" t="s">
        <v>15</v>
      </c>
      <c r="R4" s="68"/>
      <c r="S4" s="68"/>
      <c r="T4" s="68"/>
      <c r="U4" s="13" t="s">
        <v>10</v>
      </c>
      <c r="V4" s="68" t="s">
        <v>15</v>
      </c>
      <c r="W4" s="68"/>
      <c r="X4" s="68"/>
      <c r="Y4" s="68"/>
      <c r="Z4" s="27" t="s">
        <v>10</v>
      </c>
      <c r="AA4" s="68" t="s">
        <v>15</v>
      </c>
      <c r="AB4" s="68"/>
      <c r="AC4" s="68"/>
      <c r="AD4" s="68"/>
      <c r="AE4" s="32" t="s">
        <v>10</v>
      </c>
      <c r="AF4" s="68" t="s">
        <v>15</v>
      </c>
      <c r="AG4" s="68"/>
      <c r="AH4" s="68"/>
      <c r="AI4" s="68"/>
      <c r="AJ4" s="32" t="s">
        <v>10</v>
      </c>
      <c r="AK4" s="68" t="s">
        <v>15</v>
      </c>
      <c r="AL4" s="68"/>
      <c r="AM4" s="68"/>
      <c r="AN4" s="68"/>
      <c r="AO4" s="32" t="s">
        <v>10</v>
      </c>
      <c r="AP4" s="68" t="s">
        <v>15</v>
      </c>
      <c r="AQ4" s="68"/>
      <c r="AR4" s="68"/>
      <c r="AS4" s="68"/>
      <c r="AT4" s="32" t="s">
        <v>10</v>
      </c>
      <c r="AU4" s="68" t="s">
        <v>15</v>
      </c>
      <c r="AV4" s="68"/>
      <c r="AW4" s="68"/>
      <c r="AX4" s="68"/>
      <c r="AY4" s="32" t="s">
        <v>10</v>
      </c>
      <c r="AZ4" s="68" t="s">
        <v>15</v>
      </c>
      <c r="BA4" s="68"/>
      <c r="BB4" s="68"/>
      <c r="BC4" s="68"/>
      <c r="BD4" s="32" t="s">
        <v>10</v>
      </c>
      <c r="BE4" s="68" t="s">
        <v>15</v>
      </c>
      <c r="BF4" s="68"/>
      <c r="BG4" s="68"/>
      <c r="BH4" s="68"/>
      <c r="BI4" s="35" t="s">
        <v>10</v>
      </c>
      <c r="BJ4" s="68" t="s">
        <v>15</v>
      </c>
      <c r="BK4" s="68"/>
      <c r="BL4" s="68"/>
      <c r="BM4" s="68"/>
      <c r="BN4" s="35" t="s">
        <v>10</v>
      </c>
      <c r="BO4" s="68" t="s">
        <v>15</v>
      </c>
      <c r="BP4" s="68"/>
      <c r="BQ4" s="68"/>
      <c r="BR4" s="68"/>
      <c r="BS4" s="35" t="s">
        <v>10</v>
      </c>
      <c r="BT4" s="68" t="s">
        <v>15</v>
      </c>
      <c r="BU4" s="68"/>
      <c r="BV4" s="68"/>
      <c r="BW4" s="68"/>
      <c r="BX4" s="35" t="s">
        <v>10</v>
      </c>
      <c r="BY4" s="68" t="s">
        <v>15</v>
      </c>
      <c r="BZ4" s="68"/>
      <c r="CA4" s="68"/>
      <c r="CB4" s="68"/>
    </row>
    <row r="5" spans="1:80" ht="20.25" x14ac:dyDescent="0.3">
      <c r="B5" s="14">
        <v>30</v>
      </c>
      <c r="C5" s="15" t="s">
        <v>7</v>
      </c>
      <c r="D5" s="73" t="s">
        <v>19</v>
      </c>
      <c r="E5" s="73"/>
      <c r="G5" s="28">
        <v>30</v>
      </c>
      <c r="H5" s="15" t="s">
        <v>7</v>
      </c>
      <c r="I5" s="73" t="s">
        <v>20</v>
      </c>
      <c r="J5" s="73"/>
      <c r="L5" s="28">
        <v>30</v>
      </c>
      <c r="M5" s="15" t="s">
        <v>7</v>
      </c>
      <c r="N5" s="73" t="s">
        <v>21</v>
      </c>
      <c r="O5" s="73"/>
      <c r="Q5" s="14">
        <v>6</v>
      </c>
      <c r="R5" s="15" t="s">
        <v>7</v>
      </c>
      <c r="S5" s="73" t="s">
        <v>29</v>
      </c>
      <c r="T5" s="73"/>
      <c r="V5" s="14">
        <v>6</v>
      </c>
      <c r="W5" s="15" t="s">
        <v>7</v>
      </c>
      <c r="X5" s="62" t="s">
        <v>30</v>
      </c>
      <c r="Y5" s="62"/>
      <c r="AA5" s="14">
        <v>6</v>
      </c>
      <c r="AB5" s="15" t="s">
        <v>7</v>
      </c>
      <c r="AC5" s="62" t="s">
        <v>32</v>
      </c>
      <c r="AD5" s="62"/>
      <c r="AF5" s="33">
        <v>6</v>
      </c>
      <c r="AG5" s="15" t="s">
        <v>7</v>
      </c>
      <c r="AH5" s="62" t="s">
        <v>31</v>
      </c>
      <c r="AI5" s="62"/>
      <c r="AK5" s="33">
        <v>6</v>
      </c>
      <c r="AL5" s="15" t="s">
        <v>7</v>
      </c>
      <c r="AM5" s="62" t="s">
        <v>33</v>
      </c>
      <c r="AN5" s="62"/>
      <c r="AP5" s="33">
        <v>6</v>
      </c>
      <c r="AQ5" s="15" t="s">
        <v>7</v>
      </c>
      <c r="AR5" s="62" t="s">
        <v>34</v>
      </c>
      <c r="AS5" s="62"/>
      <c r="AU5" s="33">
        <v>6</v>
      </c>
      <c r="AV5" s="15" t="s">
        <v>7</v>
      </c>
      <c r="AW5" s="62" t="s">
        <v>35</v>
      </c>
      <c r="AX5" s="62"/>
      <c r="AZ5" s="33">
        <v>6</v>
      </c>
      <c r="BA5" s="15" t="s">
        <v>7</v>
      </c>
      <c r="BB5" s="62" t="s">
        <v>36</v>
      </c>
      <c r="BC5" s="62"/>
      <c r="BE5" s="33">
        <v>6</v>
      </c>
      <c r="BF5" s="15" t="s">
        <v>7</v>
      </c>
      <c r="BG5" s="62" t="s">
        <v>37</v>
      </c>
      <c r="BH5" s="62"/>
      <c r="BJ5" s="36">
        <v>6</v>
      </c>
      <c r="BK5" s="15" t="s">
        <v>7</v>
      </c>
      <c r="BL5" s="62" t="s">
        <v>39</v>
      </c>
      <c r="BM5" s="62"/>
      <c r="BO5" s="36">
        <v>6</v>
      </c>
      <c r="BP5" s="15" t="s">
        <v>7</v>
      </c>
      <c r="BQ5" s="62" t="s">
        <v>41</v>
      </c>
      <c r="BR5" s="62"/>
      <c r="BT5" s="36">
        <v>6</v>
      </c>
      <c r="BU5" s="15" t="s">
        <v>7</v>
      </c>
      <c r="BV5" s="62" t="s">
        <v>42</v>
      </c>
      <c r="BW5" s="62"/>
      <c r="BY5" s="36">
        <v>6</v>
      </c>
      <c r="BZ5" s="15" t="s">
        <v>7</v>
      </c>
      <c r="CA5" s="62" t="s">
        <v>45</v>
      </c>
      <c r="CB5" s="62"/>
    </row>
    <row r="7" spans="1:80" ht="18" x14ac:dyDescent="0.25">
      <c r="A7" s="13" t="s">
        <v>11</v>
      </c>
      <c r="B7" s="63" t="s">
        <v>16</v>
      </c>
      <c r="C7" s="63"/>
      <c r="D7" s="63"/>
      <c r="E7" s="63"/>
      <c r="F7" s="13" t="s">
        <v>11</v>
      </c>
      <c r="G7" s="72" t="s">
        <v>16</v>
      </c>
      <c r="H7" s="72"/>
      <c r="I7" s="72"/>
      <c r="J7" s="72"/>
      <c r="K7" s="13" t="s">
        <v>11</v>
      </c>
      <c r="L7" s="72" t="s">
        <v>16</v>
      </c>
      <c r="M7" s="72"/>
      <c r="N7" s="72"/>
      <c r="O7" s="72"/>
      <c r="P7" s="13" t="s">
        <v>11</v>
      </c>
      <c r="Q7" s="63" t="s">
        <v>16</v>
      </c>
      <c r="R7" s="63"/>
      <c r="S7" s="63"/>
      <c r="T7" s="63"/>
      <c r="U7" s="13" t="s">
        <v>11</v>
      </c>
      <c r="V7" s="63" t="s">
        <v>16</v>
      </c>
      <c r="W7" s="63"/>
      <c r="X7" s="63"/>
      <c r="Y7" s="63"/>
      <c r="Z7" s="27" t="s">
        <v>11</v>
      </c>
      <c r="AA7" s="63" t="s">
        <v>16</v>
      </c>
      <c r="AB7" s="63"/>
      <c r="AC7" s="63"/>
      <c r="AD7" s="63"/>
      <c r="AE7" s="32" t="s">
        <v>11</v>
      </c>
      <c r="AF7" s="63" t="s">
        <v>16</v>
      </c>
      <c r="AG7" s="63"/>
      <c r="AH7" s="63"/>
      <c r="AI7" s="63"/>
      <c r="AJ7" s="32" t="s">
        <v>11</v>
      </c>
      <c r="AK7" s="63" t="s">
        <v>16</v>
      </c>
      <c r="AL7" s="63"/>
      <c r="AM7" s="63"/>
      <c r="AN7" s="63"/>
      <c r="AO7" s="32" t="s">
        <v>11</v>
      </c>
      <c r="AP7" s="63" t="s">
        <v>16</v>
      </c>
      <c r="AQ7" s="63"/>
      <c r="AR7" s="63"/>
      <c r="AS7" s="63"/>
      <c r="AT7" s="32" t="s">
        <v>11</v>
      </c>
      <c r="AU7" s="63" t="s">
        <v>16</v>
      </c>
      <c r="AV7" s="63"/>
      <c r="AW7" s="63"/>
      <c r="AX7" s="63"/>
      <c r="AY7" s="32" t="s">
        <v>11</v>
      </c>
      <c r="AZ7" s="63" t="s">
        <v>16</v>
      </c>
      <c r="BA7" s="63"/>
      <c r="BB7" s="63"/>
      <c r="BC7" s="63"/>
      <c r="BD7" s="32" t="s">
        <v>11</v>
      </c>
      <c r="BE7" s="63" t="s">
        <v>16</v>
      </c>
      <c r="BF7" s="63"/>
      <c r="BG7" s="63"/>
      <c r="BH7" s="63"/>
      <c r="BI7" s="35" t="s">
        <v>11</v>
      </c>
      <c r="BJ7" s="63" t="s">
        <v>16</v>
      </c>
      <c r="BK7" s="63"/>
      <c r="BL7" s="63"/>
      <c r="BM7" s="63"/>
      <c r="BN7" s="35" t="s">
        <v>11</v>
      </c>
      <c r="BO7" s="63" t="s">
        <v>16</v>
      </c>
      <c r="BP7" s="63"/>
      <c r="BQ7" s="63"/>
      <c r="BR7" s="63"/>
      <c r="BS7" s="35" t="s">
        <v>11</v>
      </c>
      <c r="BT7" s="63" t="s">
        <v>16</v>
      </c>
      <c r="BU7" s="63"/>
      <c r="BV7" s="63"/>
      <c r="BW7" s="63"/>
      <c r="BX7" s="35" t="s">
        <v>11</v>
      </c>
      <c r="BY7" s="63" t="s">
        <v>16</v>
      </c>
      <c r="BZ7" s="63"/>
      <c r="CA7" s="63"/>
      <c r="CB7" s="63"/>
    </row>
    <row r="8" spans="1:80" ht="20.25" x14ac:dyDescent="0.3">
      <c r="B8" s="23" t="s">
        <v>81</v>
      </c>
      <c r="C8" s="20"/>
      <c r="D8" s="20"/>
      <c r="E8" s="20"/>
      <c r="G8" s="23" t="s">
        <v>81</v>
      </c>
      <c r="H8" s="20"/>
      <c r="I8" s="20"/>
      <c r="J8" s="20"/>
      <c r="L8" s="23" t="s">
        <v>81</v>
      </c>
      <c r="M8" s="20"/>
      <c r="N8" s="20"/>
      <c r="O8" s="20"/>
      <c r="Q8" s="23"/>
      <c r="R8" s="20"/>
      <c r="S8" s="20"/>
      <c r="T8" s="20"/>
      <c r="V8" s="23"/>
      <c r="W8" s="20"/>
      <c r="X8" s="20"/>
      <c r="Y8" s="20"/>
      <c r="AA8" s="23"/>
      <c r="AB8" s="20"/>
      <c r="AC8" s="20"/>
      <c r="AD8" s="20"/>
    </row>
    <row r="10" spans="1:80" ht="18" x14ac:dyDescent="0.25">
      <c r="A10" s="44" t="s">
        <v>12</v>
      </c>
      <c r="B10" s="46" t="s">
        <v>17</v>
      </c>
      <c r="C10" s="24" t="s">
        <v>8</v>
      </c>
      <c r="D10" s="25"/>
      <c r="E10" s="45"/>
      <c r="F10" s="44" t="s">
        <v>12</v>
      </c>
      <c r="G10" s="46" t="s">
        <v>17</v>
      </c>
      <c r="H10" s="24" t="s">
        <v>8</v>
      </c>
      <c r="I10" s="25"/>
      <c r="J10" s="45"/>
      <c r="K10" s="44" t="s">
        <v>12</v>
      </c>
      <c r="L10" s="46" t="s">
        <v>17</v>
      </c>
      <c r="M10" s="24" t="s">
        <v>8</v>
      </c>
      <c r="N10" s="25"/>
      <c r="O10" s="45"/>
      <c r="P10" s="44" t="s">
        <v>12</v>
      </c>
      <c r="Q10" s="46" t="s">
        <v>17</v>
      </c>
      <c r="R10" s="24" t="s">
        <v>8</v>
      </c>
      <c r="T10" s="45"/>
      <c r="U10" s="44" t="s">
        <v>12</v>
      </c>
      <c r="V10" s="46" t="s">
        <v>17</v>
      </c>
      <c r="W10" s="24" t="s">
        <v>8</v>
      </c>
      <c r="X10" s="25"/>
      <c r="Y10" s="45"/>
      <c r="Z10" s="44" t="s">
        <v>12</v>
      </c>
      <c r="AA10" s="46" t="s">
        <v>17</v>
      </c>
      <c r="AB10" s="24" t="s">
        <v>8</v>
      </c>
      <c r="AC10" s="25"/>
      <c r="AD10" s="45"/>
    </row>
    <row r="11" spans="1:80" s="48" customFormat="1" ht="15" x14ac:dyDescent="0.25">
      <c r="A11" s="48">
        <v>1</v>
      </c>
      <c r="B11" s="49" t="s">
        <v>83</v>
      </c>
      <c r="C11" s="50">
        <v>1</v>
      </c>
      <c r="D11" s="50"/>
      <c r="E11" s="49"/>
      <c r="F11" s="48">
        <v>1</v>
      </c>
      <c r="G11" s="49" t="s">
        <v>84</v>
      </c>
      <c r="H11" s="50">
        <v>1</v>
      </c>
      <c r="I11" s="49"/>
      <c r="J11" s="49"/>
      <c r="K11" s="48">
        <v>1</v>
      </c>
      <c r="L11" s="49" t="s">
        <v>85</v>
      </c>
      <c r="M11" s="50">
        <v>1</v>
      </c>
      <c r="N11" s="49"/>
      <c r="O11" s="49"/>
      <c r="P11" s="48">
        <v>1</v>
      </c>
      <c r="Q11" s="49"/>
      <c r="R11" s="50"/>
      <c r="S11" s="50"/>
      <c r="T11" s="49"/>
      <c r="U11" s="48">
        <v>1</v>
      </c>
      <c r="V11" s="49"/>
      <c r="W11" s="50"/>
      <c r="X11" s="50"/>
      <c r="Y11" s="49"/>
      <c r="Z11" s="48">
        <v>1</v>
      </c>
      <c r="AA11" s="49"/>
      <c r="AB11" s="50"/>
      <c r="AC11" s="50"/>
      <c r="AD11" s="49"/>
    </row>
    <row r="12" spans="1:80" s="48" customFormat="1" ht="15" x14ac:dyDescent="0.25">
      <c r="A12" s="48">
        <v>2</v>
      </c>
      <c r="B12" s="49" t="s">
        <v>83</v>
      </c>
      <c r="C12" s="50">
        <v>2</v>
      </c>
      <c r="D12" s="50"/>
      <c r="E12" s="49"/>
      <c r="F12" s="48">
        <v>2</v>
      </c>
      <c r="G12" s="49" t="s">
        <v>84</v>
      </c>
      <c r="H12" s="50">
        <v>2</v>
      </c>
      <c r="I12" s="49"/>
      <c r="J12" s="49"/>
      <c r="K12" s="48">
        <v>2</v>
      </c>
      <c r="L12" s="49" t="s">
        <v>85</v>
      </c>
      <c r="M12" s="50">
        <v>2</v>
      </c>
      <c r="N12" s="49"/>
      <c r="O12" s="49"/>
      <c r="P12" s="48">
        <v>2</v>
      </c>
      <c r="Q12" s="49"/>
      <c r="R12" s="50"/>
      <c r="S12" s="50"/>
      <c r="T12" s="49"/>
      <c r="U12" s="48">
        <v>2</v>
      </c>
      <c r="V12" s="49"/>
      <c r="W12" s="50"/>
      <c r="X12" s="50"/>
      <c r="Y12" s="49"/>
      <c r="Z12" s="48">
        <v>2</v>
      </c>
      <c r="AA12" s="49"/>
      <c r="AB12" s="50"/>
      <c r="AC12" s="50"/>
      <c r="AD12" s="49"/>
    </row>
    <row r="13" spans="1:80" s="48" customFormat="1" ht="15" x14ac:dyDescent="0.25">
      <c r="A13" s="48">
        <v>3</v>
      </c>
      <c r="B13" s="49" t="s">
        <v>83</v>
      </c>
      <c r="C13" s="50">
        <v>3</v>
      </c>
      <c r="D13" s="50"/>
      <c r="E13" s="49"/>
      <c r="F13" s="48">
        <v>3</v>
      </c>
      <c r="G13" s="49" t="s">
        <v>84</v>
      </c>
      <c r="H13" s="50">
        <v>3</v>
      </c>
      <c r="I13" s="49"/>
      <c r="J13" s="49"/>
      <c r="K13" s="48">
        <v>3</v>
      </c>
      <c r="L13" s="49" t="s">
        <v>85</v>
      </c>
      <c r="M13" s="50">
        <v>3</v>
      </c>
      <c r="N13" s="49"/>
      <c r="O13" s="49"/>
      <c r="P13" s="48">
        <v>3</v>
      </c>
      <c r="Q13" s="49"/>
      <c r="R13" s="50"/>
      <c r="S13" s="50"/>
      <c r="T13" s="49"/>
      <c r="U13" s="48">
        <v>3</v>
      </c>
      <c r="V13" s="49"/>
      <c r="W13" s="50"/>
      <c r="X13" s="50"/>
      <c r="Y13" s="49"/>
      <c r="Z13" s="48">
        <v>3</v>
      </c>
      <c r="AA13" s="49"/>
      <c r="AB13" s="50"/>
      <c r="AC13" s="50"/>
      <c r="AD13" s="49"/>
    </row>
    <row r="14" spans="1:80" s="48" customFormat="1" ht="15" x14ac:dyDescent="0.25">
      <c r="A14" s="48">
        <v>4</v>
      </c>
      <c r="B14" s="49" t="s">
        <v>83</v>
      </c>
      <c r="C14" s="50">
        <v>4</v>
      </c>
      <c r="D14" s="50"/>
      <c r="E14" s="49"/>
      <c r="F14" s="48">
        <v>4</v>
      </c>
      <c r="G14" s="49" t="s">
        <v>84</v>
      </c>
      <c r="H14" s="50">
        <v>4</v>
      </c>
      <c r="I14" s="49"/>
      <c r="J14" s="49"/>
      <c r="K14" s="48">
        <v>4</v>
      </c>
      <c r="L14" s="49" t="s">
        <v>85</v>
      </c>
      <c r="M14" s="50">
        <v>4</v>
      </c>
      <c r="N14" s="49"/>
      <c r="O14" s="49"/>
      <c r="P14" s="48">
        <v>4</v>
      </c>
      <c r="Q14" s="49"/>
      <c r="R14" s="50"/>
      <c r="S14" s="50"/>
      <c r="T14" s="49"/>
      <c r="U14" s="48">
        <v>4</v>
      </c>
      <c r="V14" s="49"/>
      <c r="W14" s="50"/>
      <c r="X14" s="50"/>
      <c r="Y14" s="49"/>
      <c r="Z14" s="48">
        <v>4</v>
      </c>
      <c r="AA14" s="49"/>
      <c r="AB14" s="50"/>
      <c r="AC14" s="50"/>
      <c r="AD14" s="49"/>
    </row>
    <row r="15" spans="1:80" s="48" customFormat="1" ht="15" x14ac:dyDescent="0.25">
      <c r="A15" s="48">
        <v>5</v>
      </c>
      <c r="B15" s="49" t="s">
        <v>83</v>
      </c>
      <c r="C15" s="50">
        <v>5</v>
      </c>
      <c r="D15" s="50"/>
      <c r="E15" s="49"/>
      <c r="F15" s="48">
        <v>5</v>
      </c>
      <c r="G15" s="49" t="s">
        <v>84</v>
      </c>
      <c r="H15" s="50">
        <v>5</v>
      </c>
      <c r="I15" s="49"/>
      <c r="J15" s="49"/>
      <c r="K15" s="48">
        <v>5</v>
      </c>
      <c r="L15" s="49" t="s">
        <v>85</v>
      </c>
      <c r="M15" s="50">
        <v>5</v>
      </c>
      <c r="N15" s="49"/>
      <c r="O15" s="49"/>
      <c r="P15" s="48">
        <v>5</v>
      </c>
      <c r="Q15" s="49"/>
      <c r="R15" s="50"/>
      <c r="S15" s="50"/>
      <c r="T15" s="49"/>
      <c r="U15" s="48">
        <v>5</v>
      </c>
      <c r="V15" s="49"/>
      <c r="W15" s="50"/>
      <c r="X15" s="50"/>
      <c r="Y15" s="49"/>
      <c r="Z15" s="48">
        <v>5</v>
      </c>
      <c r="AA15" s="49"/>
      <c r="AB15" s="50"/>
      <c r="AC15" s="50"/>
      <c r="AD15" s="49"/>
    </row>
    <row r="16" spans="1:80" s="48" customFormat="1" ht="15" x14ac:dyDescent="0.25">
      <c r="A16" s="48">
        <v>6</v>
      </c>
      <c r="B16" s="49" t="s">
        <v>83</v>
      </c>
      <c r="C16" s="50">
        <v>6</v>
      </c>
      <c r="D16" s="50"/>
      <c r="E16" s="49"/>
      <c r="F16" s="48">
        <v>6</v>
      </c>
      <c r="G16" s="49" t="s">
        <v>84</v>
      </c>
      <c r="H16" s="50">
        <v>6</v>
      </c>
      <c r="I16" s="49"/>
      <c r="J16" s="49"/>
      <c r="K16" s="48">
        <v>6</v>
      </c>
      <c r="L16" s="49" t="s">
        <v>85</v>
      </c>
      <c r="M16" s="50">
        <v>6</v>
      </c>
      <c r="N16" s="49"/>
      <c r="O16" s="49"/>
      <c r="P16" s="48">
        <v>6</v>
      </c>
      <c r="Q16" s="49"/>
      <c r="R16" s="50"/>
      <c r="S16" s="50"/>
      <c r="T16" s="49"/>
      <c r="U16" s="48">
        <v>6</v>
      </c>
      <c r="V16" s="49"/>
      <c r="W16" s="50"/>
      <c r="X16" s="50"/>
      <c r="Y16" s="49"/>
      <c r="Z16" s="48">
        <v>6</v>
      </c>
      <c r="AA16" s="49"/>
      <c r="AB16" s="50"/>
      <c r="AC16" s="50"/>
      <c r="AD16" s="49"/>
    </row>
    <row r="17" spans="1:30" s="48" customFormat="1" ht="15" x14ac:dyDescent="0.25">
      <c r="A17" s="48">
        <v>7</v>
      </c>
      <c r="B17" s="49" t="s">
        <v>86</v>
      </c>
      <c r="C17" s="50">
        <v>1</v>
      </c>
      <c r="D17" s="49"/>
      <c r="E17" s="49"/>
      <c r="F17" s="48">
        <v>7</v>
      </c>
      <c r="G17" s="49" t="s">
        <v>87</v>
      </c>
      <c r="H17" s="50">
        <v>1</v>
      </c>
      <c r="I17" s="49"/>
      <c r="J17" s="49"/>
      <c r="K17" s="48">
        <v>7</v>
      </c>
      <c r="L17" s="49" t="s">
        <v>88</v>
      </c>
      <c r="M17" s="50">
        <v>1</v>
      </c>
      <c r="N17" s="49"/>
      <c r="O17" s="49"/>
      <c r="P17" s="48">
        <v>7</v>
      </c>
      <c r="Q17" s="49"/>
      <c r="R17" s="50"/>
      <c r="S17" s="49"/>
      <c r="T17" s="49"/>
      <c r="U17" s="48">
        <v>7</v>
      </c>
      <c r="V17" s="49"/>
      <c r="W17" s="50"/>
      <c r="X17" s="49"/>
      <c r="Y17" s="49"/>
      <c r="Z17" s="48">
        <v>7</v>
      </c>
      <c r="AA17" s="49"/>
      <c r="AB17" s="50"/>
      <c r="AC17" s="49"/>
      <c r="AD17" s="49"/>
    </row>
    <row r="18" spans="1:30" s="48" customFormat="1" ht="15" x14ac:dyDescent="0.25">
      <c r="A18" s="48">
        <v>8</v>
      </c>
      <c r="B18" s="49" t="s">
        <v>86</v>
      </c>
      <c r="C18" s="50">
        <v>2</v>
      </c>
      <c r="D18" s="49"/>
      <c r="E18" s="49"/>
      <c r="F18" s="48">
        <v>8</v>
      </c>
      <c r="G18" s="49" t="s">
        <v>87</v>
      </c>
      <c r="H18" s="50">
        <v>2</v>
      </c>
      <c r="I18" s="49"/>
      <c r="J18" s="49"/>
      <c r="K18" s="48">
        <v>8</v>
      </c>
      <c r="L18" s="49" t="s">
        <v>88</v>
      </c>
      <c r="M18" s="50">
        <v>2</v>
      </c>
      <c r="N18" s="49"/>
      <c r="O18" s="49"/>
      <c r="P18" s="48">
        <v>8</v>
      </c>
      <c r="Q18" s="49"/>
      <c r="R18" s="50"/>
      <c r="S18" s="49"/>
      <c r="T18" s="49"/>
      <c r="U18" s="48">
        <v>8</v>
      </c>
      <c r="V18" s="49"/>
      <c r="W18" s="50"/>
      <c r="X18" s="49"/>
      <c r="Y18" s="49"/>
      <c r="Z18" s="48">
        <v>8</v>
      </c>
      <c r="AA18" s="49"/>
      <c r="AB18" s="50"/>
      <c r="AC18" s="49"/>
      <c r="AD18" s="49"/>
    </row>
    <row r="19" spans="1:30" s="48" customFormat="1" ht="15" x14ac:dyDescent="0.25">
      <c r="A19" s="48">
        <v>9</v>
      </c>
      <c r="B19" s="49" t="s">
        <v>86</v>
      </c>
      <c r="C19" s="50">
        <v>3</v>
      </c>
      <c r="D19" s="49"/>
      <c r="E19" s="49"/>
      <c r="F19" s="48">
        <v>9</v>
      </c>
      <c r="G19" s="49" t="s">
        <v>87</v>
      </c>
      <c r="H19" s="50">
        <v>3</v>
      </c>
      <c r="I19" s="49"/>
      <c r="J19" s="49"/>
      <c r="K19" s="48">
        <v>9</v>
      </c>
      <c r="L19" s="49" t="s">
        <v>88</v>
      </c>
      <c r="M19" s="50">
        <v>3</v>
      </c>
      <c r="N19" s="49"/>
      <c r="O19" s="49"/>
      <c r="P19" s="48">
        <v>9</v>
      </c>
      <c r="Q19" s="49"/>
      <c r="R19" s="50"/>
      <c r="S19" s="49"/>
      <c r="T19" s="49"/>
      <c r="U19" s="48">
        <v>9</v>
      </c>
      <c r="V19" s="49"/>
      <c r="W19" s="50"/>
      <c r="X19" s="49"/>
      <c r="Y19" s="49"/>
      <c r="Z19" s="48">
        <v>9</v>
      </c>
      <c r="AA19" s="49"/>
      <c r="AB19" s="50"/>
      <c r="AC19" s="49"/>
      <c r="AD19" s="49"/>
    </row>
    <row r="20" spans="1:30" s="48" customFormat="1" ht="15" x14ac:dyDescent="0.25">
      <c r="A20" s="48">
        <v>10</v>
      </c>
      <c r="B20" s="49" t="s">
        <v>86</v>
      </c>
      <c r="C20" s="50">
        <v>4</v>
      </c>
      <c r="D20" s="49"/>
      <c r="E20" s="49"/>
      <c r="F20" s="48">
        <v>10</v>
      </c>
      <c r="G20" s="49" t="s">
        <v>87</v>
      </c>
      <c r="H20" s="50">
        <v>4</v>
      </c>
      <c r="I20" s="49"/>
      <c r="J20" s="49"/>
      <c r="K20" s="48">
        <v>10</v>
      </c>
      <c r="L20" s="49" t="s">
        <v>88</v>
      </c>
      <c r="M20" s="50">
        <v>4</v>
      </c>
      <c r="N20" s="49"/>
      <c r="O20" s="49"/>
      <c r="P20" s="48">
        <v>10</v>
      </c>
      <c r="Q20" s="49"/>
      <c r="R20" s="50"/>
      <c r="S20" s="49"/>
      <c r="T20" s="49"/>
      <c r="U20" s="48">
        <v>10</v>
      </c>
      <c r="V20" s="49"/>
      <c r="W20" s="50"/>
      <c r="X20" s="49"/>
      <c r="Y20" s="49"/>
      <c r="Z20" s="48">
        <v>10</v>
      </c>
      <c r="AA20" s="49"/>
      <c r="AB20" s="50"/>
      <c r="AC20" s="49"/>
      <c r="AD20" s="49"/>
    </row>
    <row r="21" spans="1:30" s="48" customFormat="1" ht="15" x14ac:dyDescent="0.25">
      <c r="A21" s="48">
        <v>11</v>
      </c>
      <c r="B21" s="49" t="s">
        <v>86</v>
      </c>
      <c r="C21" s="50">
        <v>5</v>
      </c>
      <c r="D21" s="49"/>
      <c r="E21" s="49"/>
      <c r="F21" s="48">
        <v>11</v>
      </c>
      <c r="G21" s="49" t="s">
        <v>87</v>
      </c>
      <c r="H21" s="50">
        <v>5</v>
      </c>
      <c r="I21" s="49"/>
      <c r="J21" s="49"/>
      <c r="K21" s="48">
        <v>11</v>
      </c>
      <c r="L21" s="49" t="s">
        <v>88</v>
      </c>
      <c r="M21" s="50">
        <v>5</v>
      </c>
      <c r="N21" s="49"/>
      <c r="O21" s="49"/>
      <c r="P21" s="48">
        <v>11</v>
      </c>
      <c r="Q21" s="49"/>
      <c r="R21" s="50"/>
      <c r="S21" s="49"/>
      <c r="T21" s="49"/>
      <c r="U21" s="48">
        <v>11</v>
      </c>
      <c r="V21" s="49"/>
      <c r="W21" s="50"/>
      <c r="X21" s="49"/>
      <c r="Y21" s="49"/>
      <c r="Z21" s="48">
        <v>11</v>
      </c>
      <c r="AA21" s="49"/>
      <c r="AB21" s="50"/>
      <c r="AC21" s="49"/>
      <c r="AD21" s="49"/>
    </row>
    <row r="22" spans="1:30" s="48" customFormat="1" ht="15" x14ac:dyDescent="0.25">
      <c r="A22" s="48">
        <v>12</v>
      </c>
      <c r="B22" s="49" t="s">
        <v>86</v>
      </c>
      <c r="C22" s="50">
        <v>6</v>
      </c>
      <c r="D22" s="49"/>
      <c r="E22" s="49"/>
      <c r="F22" s="48">
        <v>12</v>
      </c>
      <c r="G22" s="49" t="s">
        <v>87</v>
      </c>
      <c r="H22" s="50">
        <v>6</v>
      </c>
      <c r="I22" s="49"/>
      <c r="J22" s="49"/>
      <c r="K22" s="48">
        <v>12</v>
      </c>
      <c r="L22" s="49" t="s">
        <v>88</v>
      </c>
      <c r="M22" s="50">
        <v>6</v>
      </c>
      <c r="N22" s="49"/>
      <c r="O22" s="49"/>
      <c r="P22" s="48">
        <v>12</v>
      </c>
      <c r="Q22" s="49"/>
      <c r="R22" s="50"/>
      <c r="S22" s="49"/>
      <c r="T22" s="49"/>
      <c r="U22" s="48">
        <v>12</v>
      </c>
      <c r="V22" s="49"/>
      <c r="W22" s="50"/>
      <c r="X22" s="49"/>
      <c r="Y22" s="49"/>
      <c r="Z22" s="48">
        <v>12</v>
      </c>
      <c r="AA22" s="49"/>
      <c r="AB22" s="50"/>
      <c r="AC22" s="49"/>
      <c r="AD22" s="49"/>
    </row>
    <row r="23" spans="1:30" s="48" customFormat="1" ht="15" x14ac:dyDescent="0.25">
      <c r="A23" s="48">
        <v>13</v>
      </c>
      <c r="B23" s="49" t="s">
        <v>89</v>
      </c>
      <c r="C23" s="50">
        <v>1</v>
      </c>
      <c r="D23" s="49"/>
      <c r="E23" s="49"/>
      <c r="F23" s="48">
        <v>13</v>
      </c>
      <c r="G23" s="49" t="s">
        <v>90</v>
      </c>
      <c r="H23" s="50">
        <v>1</v>
      </c>
      <c r="I23" s="49"/>
      <c r="J23" s="49"/>
      <c r="K23" s="48">
        <v>13</v>
      </c>
      <c r="L23" s="49" t="s">
        <v>91</v>
      </c>
      <c r="M23" s="50">
        <v>1</v>
      </c>
      <c r="N23" s="49"/>
      <c r="O23" s="49"/>
      <c r="P23" s="48">
        <v>13</v>
      </c>
      <c r="Q23" s="49"/>
      <c r="R23" s="50"/>
      <c r="S23" s="49"/>
      <c r="T23" s="49"/>
      <c r="U23" s="48">
        <v>13</v>
      </c>
      <c r="V23" s="49"/>
      <c r="W23" s="50"/>
      <c r="X23" s="49"/>
      <c r="Y23" s="49"/>
      <c r="Z23" s="48">
        <v>13</v>
      </c>
      <c r="AA23" s="49"/>
      <c r="AB23" s="50"/>
      <c r="AC23" s="49"/>
      <c r="AD23" s="49"/>
    </row>
    <row r="24" spans="1:30" s="48" customFormat="1" ht="15" x14ac:dyDescent="0.25">
      <c r="A24" s="48">
        <v>14</v>
      </c>
      <c r="B24" s="49" t="s">
        <v>89</v>
      </c>
      <c r="C24" s="50">
        <v>2</v>
      </c>
      <c r="D24" s="49"/>
      <c r="E24" s="49"/>
      <c r="F24" s="48">
        <v>14</v>
      </c>
      <c r="G24" s="49" t="s">
        <v>90</v>
      </c>
      <c r="H24" s="50">
        <v>2</v>
      </c>
      <c r="I24" s="49"/>
      <c r="J24" s="49"/>
      <c r="K24" s="48">
        <v>14</v>
      </c>
      <c r="L24" s="49" t="s">
        <v>91</v>
      </c>
      <c r="M24" s="50">
        <v>2</v>
      </c>
      <c r="N24" s="49"/>
      <c r="O24" s="49"/>
      <c r="P24" s="48">
        <v>14</v>
      </c>
      <c r="Q24" s="49"/>
      <c r="R24" s="50"/>
      <c r="S24" s="49"/>
      <c r="T24" s="49"/>
      <c r="U24" s="48">
        <v>14</v>
      </c>
      <c r="V24" s="49"/>
      <c r="W24" s="50"/>
      <c r="X24" s="49"/>
      <c r="Y24" s="49"/>
      <c r="Z24" s="48">
        <v>14</v>
      </c>
      <c r="AA24" s="49"/>
      <c r="AB24" s="50"/>
      <c r="AC24" s="49"/>
      <c r="AD24" s="49"/>
    </row>
    <row r="25" spans="1:30" s="48" customFormat="1" ht="15" x14ac:dyDescent="0.25">
      <c r="A25" s="48">
        <v>15</v>
      </c>
      <c r="B25" s="49" t="s">
        <v>89</v>
      </c>
      <c r="C25" s="50">
        <v>3</v>
      </c>
      <c r="D25" s="49"/>
      <c r="E25" s="49"/>
      <c r="F25" s="48">
        <v>15</v>
      </c>
      <c r="G25" s="49" t="s">
        <v>90</v>
      </c>
      <c r="H25" s="50">
        <v>3</v>
      </c>
      <c r="I25" s="49"/>
      <c r="J25" s="49"/>
      <c r="K25" s="48">
        <v>15</v>
      </c>
      <c r="L25" s="49" t="s">
        <v>91</v>
      </c>
      <c r="M25" s="50">
        <v>3</v>
      </c>
      <c r="N25" s="49"/>
      <c r="O25" s="49"/>
      <c r="P25" s="48">
        <v>15</v>
      </c>
      <c r="Q25" s="49"/>
      <c r="R25" s="50"/>
      <c r="S25" s="49"/>
      <c r="T25" s="49"/>
      <c r="U25" s="48">
        <v>15</v>
      </c>
      <c r="V25" s="49"/>
      <c r="W25" s="50"/>
      <c r="X25" s="49"/>
      <c r="Y25" s="49"/>
      <c r="Z25" s="48">
        <v>15</v>
      </c>
      <c r="AA25" s="49"/>
      <c r="AB25" s="50"/>
      <c r="AC25" s="49"/>
      <c r="AD25" s="49"/>
    </row>
    <row r="26" spans="1:30" s="48" customFormat="1" ht="15" x14ac:dyDescent="0.25">
      <c r="A26" s="48">
        <v>16</v>
      </c>
      <c r="B26" s="49" t="s">
        <v>89</v>
      </c>
      <c r="C26" s="50">
        <v>4</v>
      </c>
      <c r="D26" s="49"/>
      <c r="E26" s="49"/>
      <c r="F26" s="48">
        <v>16</v>
      </c>
      <c r="G26" s="49" t="s">
        <v>90</v>
      </c>
      <c r="H26" s="50">
        <v>4</v>
      </c>
      <c r="I26" s="49"/>
      <c r="J26" s="49"/>
      <c r="K26" s="48">
        <v>16</v>
      </c>
      <c r="L26" s="49" t="s">
        <v>91</v>
      </c>
      <c r="M26" s="50">
        <v>4</v>
      </c>
      <c r="N26" s="49"/>
      <c r="O26" s="49"/>
      <c r="P26" s="48">
        <v>16</v>
      </c>
      <c r="Q26" s="49"/>
      <c r="R26" s="50"/>
      <c r="S26" s="49"/>
      <c r="T26" s="49"/>
      <c r="U26" s="48">
        <v>16</v>
      </c>
      <c r="V26" s="49"/>
      <c r="W26" s="50"/>
      <c r="X26" s="49"/>
      <c r="Y26" s="49"/>
      <c r="Z26" s="48">
        <v>16</v>
      </c>
      <c r="AA26" s="49"/>
      <c r="AB26" s="50"/>
      <c r="AC26" s="49"/>
      <c r="AD26" s="49"/>
    </row>
    <row r="27" spans="1:30" s="48" customFormat="1" ht="15" x14ac:dyDescent="0.25">
      <c r="A27" s="48">
        <v>17</v>
      </c>
      <c r="B27" s="49" t="s">
        <v>89</v>
      </c>
      <c r="C27" s="50">
        <v>5</v>
      </c>
      <c r="D27" s="49"/>
      <c r="E27" s="49"/>
      <c r="F27" s="48">
        <v>17</v>
      </c>
      <c r="G27" s="49" t="s">
        <v>90</v>
      </c>
      <c r="H27" s="50">
        <v>5</v>
      </c>
      <c r="I27" s="49"/>
      <c r="J27" s="49"/>
      <c r="K27" s="48">
        <v>17</v>
      </c>
      <c r="L27" s="49" t="s">
        <v>91</v>
      </c>
      <c r="M27" s="50">
        <v>5</v>
      </c>
      <c r="N27" s="49"/>
      <c r="O27" s="49"/>
      <c r="P27" s="48">
        <v>17</v>
      </c>
      <c r="Q27" s="49"/>
      <c r="R27" s="50"/>
      <c r="S27" s="49"/>
      <c r="T27" s="49"/>
      <c r="U27" s="48">
        <v>17</v>
      </c>
      <c r="V27" s="49"/>
      <c r="W27" s="50"/>
      <c r="X27" s="49"/>
      <c r="Y27" s="49"/>
      <c r="Z27" s="48">
        <v>17</v>
      </c>
      <c r="AA27" s="49"/>
      <c r="AB27" s="50"/>
      <c r="AC27" s="49"/>
      <c r="AD27" s="49"/>
    </row>
    <row r="28" spans="1:30" s="48" customFormat="1" ht="15" x14ac:dyDescent="0.25">
      <c r="A28" s="48">
        <v>18</v>
      </c>
      <c r="B28" s="49" t="s">
        <v>89</v>
      </c>
      <c r="C28" s="50">
        <v>6</v>
      </c>
      <c r="D28" s="49"/>
      <c r="E28" s="49"/>
      <c r="F28" s="48">
        <v>18</v>
      </c>
      <c r="G28" s="49" t="s">
        <v>90</v>
      </c>
      <c r="H28" s="50">
        <v>6</v>
      </c>
      <c r="I28" s="49"/>
      <c r="J28" s="49"/>
      <c r="K28" s="48">
        <v>18</v>
      </c>
      <c r="L28" s="49" t="s">
        <v>91</v>
      </c>
      <c r="M28" s="50">
        <v>6</v>
      </c>
      <c r="N28" s="49"/>
      <c r="O28" s="49"/>
      <c r="P28" s="48">
        <v>18</v>
      </c>
      <c r="Q28" s="49"/>
      <c r="R28" s="50"/>
      <c r="S28" s="49"/>
      <c r="T28" s="49"/>
      <c r="U28" s="48">
        <v>18</v>
      </c>
      <c r="V28" s="49"/>
      <c r="W28" s="50"/>
      <c r="X28" s="49"/>
      <c r="Y28" s="49"/>
      <c r="Z28" s="48">
        <v>18</v>
      </c>
      <c r="AA28" s="49"/>
      <c r="AB28" s="50"/>
      <c r="AC28" s="49"/>
      <c r="AD28" s="49"/>
    </row>
    <row r="29" spans="1:30" s="48" customFormat="1" ht="15" x14ac:dyDescent="0.25">
      <c r="A29" s="48">
        <v>19</v>
      </c>
      <c r="B29" s="49" t="s">
        <v>92</v>
      </c>
      <c r="C29" s="50">
        <v>1</v>
      </c>
      <c r="D29" s="49"/>
      <c r="E29" s="49"/>
      <c r="F29" s="48">
        <v>19</v>
      </c>
      <c r="G29" s="49" t="s">
        <v>93</v>
      </c>
      <c r="H29" s="50">
        <v>1</v>
      </c>
      <c r="I29" s="49"/>
      <c r="J29" s="49"/>
      <c r="K29" s="48">
        <v>19</v>
      </c>
      <c r="L29" s="49" t="s">
        <v>94</v>
      </c>
      <c r="M29" s="50">
        <v>1</v>
      </c>
      <c r="N29" s="49"/>
      <c r="O29" s="49"/>
      <c r="P29" s="48">
        <v>19</v>
      </c>
      <c r="Q29" s="49"/>
      <c r="R29" s="50"/>
      <c r="S29" s="49"/>
      <c r="T29" s="49"/>
      <c r="U29" s="48">
        <v>19</v>
      </c>
      <c r="V29" s="49"/>
      <c r="W29" s="50"/>
      <c r="X29" s="49"/>
      <c r="Y29" s="49"/>
      <c r="Z29" s="48">
        <v>19</v>
      </c>
      <c r="AA29" s="49"/>
      <c r="AB29" s="50"/>
      <c r="AC29" s="49"/>
      <c r="AD29" s="49"/>
    </row>
    <row r="30" spans="1:30" s="48" customFormat="1" ht="15" x14ac:dyDescent="0.25">
      <c r="A30" s="48">
        <v>20</v>
      </c>
      <c r="B30" s="49" t="s">
        <v>92</v>
      </c>
      <c r="C30" s="50">
        <v>2</v>
      </c>
      <c r="D30" s="49"/>
      <c r="E30" s="49"/>
      <c r="F30" s="48">
        <v>20</v>
      </c>
      <c r="G30" s="49" t="s">
        <v>93</v>
      </c>
      <c r="H30" s="50">
        <v>2</v>
      </c>
      <c r="I30" s="49"/>
      <c r="J30" s="49"/>
      <c r="K30" s="48">
        <v>20</v>
      </c>
      <c r="L30" s="49" t="s">
        <v>94</v>
      </c>
      <c r="M30" s="50">
        <v>2</v>
      </c>
      <c r="N30" s="49"/>
      <c r="O30" s="49"/>
      <c r="P30" s="48">
        <v>20</v>
      </c>
      <c r="Q30" s="49"/>
      <c r="R30" s="50"/>
      <c r="S30" s="49"/>
      <c r="T30" s="49"/>
      <c r="U30" s="48">
        <v>20</v>
      </c>
      <c r="V30" s="49"/>
      <c r="W30" s="50"/>
      <c r="X30" s="49"/>
      <c r="Y30" s="49"/>
      <c r="Z30" s="48">
        <v>20</v>
      </c>
      <c r="AA30" s="49"/>
      <c r="AB30" s="50"/>
      <c r="AC30" s="49"/>
      <c r="AD30" s="49"/>
    </row>
    <row r="31" spans="1:30" s="48" customFormat="1" ht="15" x14ac:dyDescent="0.25">
      <c r="A31" s="48">
        <v>21</v>
      </c>
      <c r="B31" s="49" t="s">
        <v>92</v>
      </c>
      <c r="C31" s="50">
        <v>3</v>
      </c>
      <c r="D31" s="49"/>
      <c r="E31" s="49"/>
      <c r="F31" s="48">
        <v>21</v>
      </c>
      <c r="G31" s="49" t="s">
        <v>93</v>
      </c>
      <c r="H31" s="50">
        <v>3</v>
      </c>
      <c r="I31" s="49"/>
      <c r="J31" s="49"/>
      <c r="K31" s="48">
        <v>21</v>
      </c>
      <c r="L31" s="49" t="s">
        <v>94</v>
      </c>
      <c r="M31" s="50">
        <v>3</v>
      </c>
      <c r="N31" s="49"/>
      <c r="O31" s="49"/>
      <c r="P31" s="48">
        <v>21</v>
      </c>
      <c r="Q31" s="49"/>
      <c r="R31" s="50"/>
      <c r="S31" s="49"/>
      <c r="T31" s="49"/>
      <c r="U31" s="48">
        <v>21</v>
      </c>
      <c r="V31" s="49"/>
      <c r="W31" s="50"/>
      <c r="X31" s="49"/>
      <c r="Y31" s="49"/>
      <c r="Z31" s="48">
        <v>21</v>
      </c>
      <c r="AA31" s="49"/>
      <c r="AB31" s="50"/>
      <c r="AC31" s="49"/>
      <c r="AD31" s="49"/>
    </row>
    <row r="32" spans="1:30" s="48" customFormat="1" ht="15" x14ac:dyDescent="0.25">
      <c r="A32" s="48">
        <v>22</v>
      </c>
      <c r="B32" s="49" t="s">
        <v>92</v>
      </c>
      <c r="C32" s="50">
        <v>4</v>
      </c>
      <c r="D32" s="49"/>
      <c r="E32" s="49"/>
      <c r="F32" s="48">
        <v>22</v>
      </c>
      <c r="G32" s="49" t="s">
        <v>93</v>
      </c>
      <c r="H32" s="50">
        <v>4</v>
      </c>
      <c r="I32" s="49"/>
      <c r="J32" s="49"/>
      <c r="K32" s="48">
        <v>22</v>
      </c>
      <c r="L32" s="49" t="s">
        <v>94</v>
      </c>
      <c r="M32" s="50">
        <v>4</v>
      </c>
      <c r="N32" s="49"/>
      <c r="O32" s="49"/>
      <c r="P32" s="48">
        <v>22</v>
      </c>
      <c r="Q32" s="49"/>
      <c r="R32" s="50"/>
      <c r="S32" s="49"/>
      <c r="T32" s="49"/>
      <c r="U32" s="48">
        <v>22</v>
      </c>
      <c r="V32" s="49"/>
      <c r="W32" s="50"/>
      <c r="X32" s="49"/>
      <c r="Y32" s="49"/>
      <c r="Z32" s="48">
        <v>22</v>
      </c>
      <c r="AA32" s="49"/>
      <c r="AB32" s="50"/>
      <c r="AC32" s="49"/>
      <c r="AD32" s="49"/>
    </row>
    <row r="33" spans="1:80" s="48" customFormat="1" ht="15" x14ac:dyDescent="0.25">
      <c r="A33" s="48">
        <v>23</v>
      </c>
      <c r="B33" s="49" t="s">
        <v>92</v>
      </c>
      <c r="C33" s="50">
        <v>5</v>
      </c>
      <c r="D33" s="49"/>
      <c r="E33" s="49"/>
      <c r="F33" s="48">
        <v>23</v>
      </c>
      <c r="G33" s="49" t="s">
        <v>93</v>
      </c>
      <c r="H33" s="50">
        <v>5</v>
      </c>
      <c r="I33" s="49"/>
      <c r="J33" s="49"/>
      <c r="K33" s="48">
        <v>23</v>
      </c>
      <c r="L33" s="49" t="s">
        <v>94</v>
      </c>
      <c r="M33" s="50">
        <v>5</v>
      </c>
      <c r="N33" s="49"/>
      <c r="O33" s="49"/>
      <c r="P33" s="48">
        <v>23</v>
      </c>
      <c r="Q33" s="49"/>
      <c r="R33" s="50"/>
      <c r="S33" s="49"/>
      <c r="T33" s="49"/>
      <c r="U33" s="48">
        <v>23</v>
      </c>
      <c r="V33" s="49"/>
      <c r="W33" s="50"/>
      <c r="X33" s="49"/>
      <c r="Y33" s="49"/>
      <c r="Z33" s="48">
        <v>23</v>
      </c>
      <c r="AA33" s="49"/>
      <c r="AB33" s="50"/>
      <c r="AC33" s="49"/>
      <c r="AD33" s="49"/>
    </row>
    <row r="34" spans="1:80" s="48" customFormat="1" ht="15" x14ac:dyDescent="0.25">
      <c r="A34" s="48">
        <v>24</v>
      </c>
      <c r="B34" s="49" t="s">
        <v>92</v>
      </c>
      <c r="C34" s="50">
        <v>6</v>
      </c>
      <c r="D34" s="49"/>
      <c r="E34" s="49"/>
      <c r="F34" s="48">
        <v>24</v>
      </c>
      <c r="G34" s="49" t="s">
        <v>93</v>
      </c>
      <c r="H34" s="50">
        <v>6</v>
      </c>
      <c r="I34" s="49"/>
      <c r="J34" s="49"/>
      <c r="K34" s="48">
        <v>24</v>
      </c>
      <c r="L34" s="49" t="s">
        <v>94</v>
      </c>
      <c r="M34" s="50">
        <v>6</v>
      </c>
      <c r="N34" s="49"/>
      <c r="O34" s="49"/>
      <c r="P34" s="48">
        <v>24</v>
      </c>
      <c r="Q34" s="49"/>
      <c r="R34" s="50"/>
      <c r="S34" s="49"/>
      <c r="T34" s="49"/>
      <c r="U34" s="48">
        <v>24</v>
      </c>
      <c r="V34" s="49"/>
      <c r="W34" s="50"/>
      <c r="X34" s="49"/>
      <c r="Y34" s="49"/>
      <c r="Z34" s="48">
        <v>24</v>
      </c>
      <c r="AA34" s="49"/>
      <c r="AB34" s="50"/>
      <c r="AC34" s="49"/>
      <c r="AD34" s="49"/>
    </row>
    <row r="35" spans="1:80" s="48" customFormat="1" ht="15" x14ac:dyDescent="0.25">
      <c r="A35" s="48">
        <v>25</v>
      </c>
      <c r="B35" s="49" t="s">
        <v>95</v>
      </c>
      <c r="C35" s="50">
        <v>1</v>
      </c>
      <c r="D35" s="49"/>
      <c r="E35" s="49"/>
      <c r="F35" s="48">
        <v>25</v>
      </c>
      <c r="G35" s="49" t="s">
        <v>96</v>
      </c>
      <c r="H35" s="50">
        <v>1</v>
      </c>
      <c r="I35" s="49"/>
      <c r="J35" s="49"/>
      <c r="K35" s="48">
        <v>25</v>
      </c>
      <c r="L35" s="49" t="s">
        <v>97</v>
      </c>
      <c r="M35" s="50">
        <v>1</v>
      </c>
      <c r="N35" s="49"/>
      <c r="O35" s="49"/>
      <c r="P35" s="48">
        <v>25</v>
      </c>
      <c r="Q35" s="49"/>
      <c r="R35" s="50"/>
      <c r="S35" s="49"/>
      <c r="T35" s="49"/>
      <c r="U35" s="48">
        <v>25</v>
      </c>
      <c r="V35" s="49"/>
      <c r="W35" s="50"/>
      <c r="X35" s="49"/>
      <c r="Y35" s="49"/>
      <c r="Z35" s="48">
        <v>25</v>
      </c>
      <c r="AA35" s="49"/>
      <c r="AB35" s="50"/>
      <c r="AC35" s="49"/>
      <c r="AD35" s="49"/>
    </row>
    <row r="36" spans="1:80" s="48" customFormat="1" ht="15" x14ac:dyDescent="0.25">
      <c r="A36" s="48">
        <v>26</v>
      </c>
      <c r="B36" s="49" t="s">
        <v>95</v>
      </c>
      <c r="C36" s="50">
        <v>2</v>
      </c>
      <c r="D36" s="49"/>
      <c r="E36" s="49"/>
      <c r="F36" s="48">
        <v>26</v>
      </c>
      <c r="G36" s="49" t="s">
        <v>96</v>
      </c>
      <c r="H36" s="50">
        <v>2</v>
      </c>
      <c r="I36" s="49"/>
      <c r="J36" s="49"/>
      <c r="K36" s="48">
        <v>26</v>
      </c>
      <c r="L36" s="49" t="s">
        <v>97</v>
      </c>
      <c r="M36" s="50">
        <v>2</v>
      </c>
      <c r="N36" s="49"/>
      <c r="O36" s="49"/>
      <c r="P36" s="48">
        <v>26</v>
      </c>
      <c r="Q36" s="49"/>
      <c r="R36" s="50"/>
      <c r="S36" s="49"/>
      <c r="T36" s="49"/>
      <c r="U36" s="48">
        <v>26</v>
      </c>
      <c r="V36" s="49"/>
      <c r="W36" s="50"/>
      <c r="X36" s="49"/>
      <c r="Y36" s="49"/>
      <c r="Z36" s="48">
        <v>26</v>
      </c>
      <c r="AA36" s="49"/>
      <c r="AB36" s="50"/>
      <c r="AC36" s="49"/>
      <c r="AD36" s="49"/>
    </row>
    <row r="37" spans="1:80" s="48" customFormat="1" ht="15" x14ac:dyDescent="0.25">
      <c r="A37" s="48">
        <v>27</v>
      </c>
      <c r="B37" s="49" t="s">
        <v>95</v>
      </c>
      <c r="C37" s="50">
        <v>3</v>
      </c>
      <c r="D37" s="49"/>
      <c r="E37" s="49"/>
      <c r="F37" s="48">
        <v>27</v>
      </c>
      <c r="G37" s="49" t="s">
        <v>96</v>
      </c>
      <c r="H37" s="50">
        <v>3</v>
      </c>
      <c r="I37" s="49"/>
      <c r="J37" s="49"/>
      <c r="K37" s="48">
        <v>27</v>
      </c>
      <c r="L37" s="49" t="s">
        <v>97</v>
      </c>
      <c r="M37" s="50">
        <v>3</v>
      </c>
      <c r="N37" s="49"/>
      <c r="O37" s="49"/>
      <c r="P37" s="48">
        <v>27</v>
      </c>
      <c r="Q37" s="49"/>
      <c r="R37" s="50"/>
      <c r="S37" s="49"/>
      <c r="T37" s="49"/>
      <c r="U37" s="48">
        <v>27</v>
      </c>
      <c r="V37" s="49"/>
      <c r="W37" s="50"/>
      <c r="X37" s="49"/>
      <c r="Y37" s="49"/>
      <c r="Z37" s="48">
        <v>27</v>
      </c>
      <c r="AA37" s="49"/>
      <c r="AB37" s="50"/>
      <c r="AC37" s="49"/>
      <c r="AD37" s="49"/>
    </row>
    <row r="38" spans="1:80" s="48" customFormat="1" ht="15" x14ac:dyDescent="0.25">
      <c r="A38" s="48">
        <v>28</v>
      </c>
      <c r="B38" s="49" t="s">
        <v>95</v>
      </c>
      <c r="C38" s="50">
        <v>4</v>
      </c>
      <c r="D38" s="49"/>
      <c r="E38" s="49"/>
      <c r="F38" s="48">
        <v>28</v>
      </c>
      <c r="G38" s="49" t="s">
        <v>96</v>
      </c>
      <c r="H38" s="50">
        <v>4</v>
      </c>
      <c r="I38" s="49"/>
      <c r="J38" s="49"/>
      <c r="K38" s="48">
        <v>28</v>
      </c>
      <c r="L38" s="49" t="s">
        <v>97</v>
      </c>
      <c r="M38" s="50">
        <v>4</v>
      </c>
      <c r="N38" s="49"/>
      <c r="O38" s="49"/>
      <c r="P38" s="48">
        <v>28</v>
      </c>
      <c r="Q38" s="49"/>
      <c r="R38" s="50"/>
      <c r="S38" s="49"/>
      <c r="T38" s="49"/>
      <c r="U38" s="48">
        <v>28</v>
      </c>
      <c r="V38" s="49"/>
      <c r="W38" s="49"/>
      <c r="X38" s="49"/>
      <c r="Y38" s="49"/>
      <c r="Z38" s="48">
        <v>28</v>
      </c>
      <c r="AA38" s="49"/>
      <c r="AB38" s="49"/>
      <c r="AC38" s="49"/>
      <c r="AD38" s="49"/>
    </row>
    <row r="39" spans="1:80" s="48" customFormat="1" ht="15" x14ac:dyDescent="0.25">
      <c r="A39" s="48">
        <v>29</v>
      </c>
      <c r="B39" s="49" t="s">
        <v>95</v>
      </c>
      <c r="C39" s="50">
        <v>5</v>
      </c>
      <c r="D39" s="49"/>
      <c r="E39" s="49"/>
      <c r="F39" s="48">
        <v>29</v>
      </c>
      <c r="G39" s="49" t="s">
        <v>96</v>
      </c>
      <c r="H39" s="50">
        <v>5</v>
      </c>
      <c r="I39" s="49"/>
      <c r="J39" s="49"/>
      <c r="K39" s="48">
        <v>29</v>
      </c>
      <c r="L39" s="49" t="s">
        <v>97</v>
      </c>
      <c r="M39" s="50">
        <v>5</v>
      </c>
      <c r="N39" s="49"/>
      <c r="O39" s="49"/>
      <c r="P39" s="48">
        <v>29</v>
      </c>
      <c r="Q39" s="49"/>
      <c r="R39" s="50"/>
      <c r="S39" s="49"/>
      <c r="T39" s="49"/>
      <c r="U39" s="48">
        <v>29</v>
      </c>
      <c r="V39" s="49"/>
      <c r="W39" s="49"/>
      <c r="X39" s="49"/>
      <c r="Y39" s="49"/>
      <c r="Z39" s="48">
        <v>29</v>
      </c>
      <c r="AA39" s="49"/>
      <c r="AB39" s="49"/>
      <c r="AC39" s="49"/>
      <c r="AD39" s="49"/>
    </row>
    <row r="40" spans="1:80" s="48" customFormat="1" ht="15" x14ac:dyDescent="0.25">
      <c r="A40" s="48">
        <v>30</v>
      </c>
      <c r="B40" s="49" t="s">
        <v>95</v>
      </c>
      <c r="C40" s="50">
        <v>6</v>
      </c>
      <c r="D40" s="49"/>
      <c r="E40" s="49"/>
      <c r="F40" s="48">
        <v>30</v>
      </c>
      <c r="G40" s="49" t="s">
        <v>96</v>
      </c>
      <c r="H40" s="50">
        <v>6</v>
      </c>
      <c r="I40" s="49"/>
      <c r="J40" s="49"/>
      <c r="K40" s="48">
        <v>30</v>
      </c>
      <c r="L40" s="49" t="s">
        <v>97</v>
      </c>
      <c r="M40" s="50">
        <v>6</v>
      </c>
      <c r="N40" s="49"/>
      <c r="O40" s="49"/>
      <c r="P40" s="48">
        <v>30</v>
      </c>
      <c r="Q40" s="49"/>
      <c r="R40" s="50"/>
      <c r="S40" s="49"/>
      <c r="T40" s="49"/>
      <c r="U40" s="48">
        <v>30</v>
      </c>
      <c r="V40" s="49"/>
      <c r="W40" s="49"/>
      <c r="X40" s="49"/>
      <c r="Y40" s="49"/>
      <c r="Z40" s="48">
        <v>30</v>
      </c>
      <c r="AA40" s="49"/>
      <c r="AB40" s="49"/>
      <c r="AC40" s="49"/>
      <c r="AD40" s="49"/>
    </row>
    <row r="41" spans="1:80" x14ac:dyDescent="0.2">
      <c r="A41" s="8">
        <v>31</v>
      </c>
      <c r="B41" s="20"/>
      <c r="C41" s="21"/>
      <c r="D41" s="20"/>
      <c r="E41" s="20"/>
      <c r="F41" s="8">
        <v>31</v>
      </c>
      <c r="G41" s="20"/>
      <c r="H41" s="22"/>
      <c r="I41" s="20"/>
      <c r="J41" s="20"/>
      <c r="K41" s="8">
        <v>31</v>
      </c>
      <c r="L41" s="20"/>
      <c r="M41" s="21"/>
      <c r="N41" s="20"/>
      <c r="O41" s="20"/>
      <c r="P41" s="8">
        <v>31</v>
      </c>
      <c r="Q41" s="20"/>
      <c r="R41" s="21"/>
      <c r="S41" s="20"/>
      <c r="T41" s="20"/>
      <c r="U41" s="8">
        <v>31</v>
      </c>
      <c r="V41" s="20"/>
      <c r="W41" s="20"/>
      <c r="X41" s="20"/>
      <c r="Y41" s="20"/>
      <c r="Z41" s="8">
        <v>31</v>
      </c>
      <c r="AA41" s="20"/>
      <c r="AB41" s="20"/>
      <c r="AC41" s="20"/>
      <c r="AD41" s="20"/>
      <c r="AE41" s="8">
        <v>31</v>
      </c>
      <c r="AF41" s="20"/>
      <c r="AG41" s="20"/>
      <c r="AH41" s="20"/>
      <c r="AI41" s="20"/>
      <c r="AJ41" s="8">
        <v>31</v>
      </c>
      <c r="AK41" s="20"/>
      <c r="AL41" s="20"/>
      <c r="AM41" s="20"/>
      <c r="AN41" s="20"/>
      <c r="AO41" s="8">
        <v>31</v>
      </c>
      <c r="AP41" s="20"/>
      <c r="AQ41" s="20"/>
      <c r="AR41" s="20"/>
      <c r="AS41" s="20"/>
      <c r="AT41" s="8">
        <v>31</v>
      </c>
      <c r="AU41" s="20"/>
      <c r="AV41" s="20"/>
      <c r="AW41" s="20"/>
      <c r="AX41" s="20"/>
      <c r="AY41" s="8">
        <v>31</v>
      </c>
      <c r="AZ41" s="20"/>
      <c r="BA41" s="20"/>
      <c r="BB41" s="20"/>
      <c r="BC41" s="20"/>
      <c r="BD41" s="8">
        <v>31</v>
      </c>
      <c r="BE41" s="20"/>
      <c r="BF41" s="20"/>
      <c r="BG41" s="20"/>
      <c r="BH41" s="20"/>
      <c r="BI41" s="8">
        <v>31</v>
      </c>
      <c r="BJ41" s="20"/>
      <c r="BK41" s="20"/>
      <c r="BL41" s="20"/>
      <c r="BM41" s="20"/>
      <c r="BN41" s="8">
        <v>31</v>
      </c>
      <c r="BO41" s="20"/>
      <c r="BP41" s="20"/>
      <c r="BQ41" s="20"/>
      <c r="BR41" s="20"/>
      <c r="BS41" s="8">
        <v>31</v>
      </c>
      <c r="BT41" s="20"/>
      <c r="BU41" s="20"/>
      <c r="BV41" s="20"/>
      <c r="BW41" s="20"/>
      <c r="BX41" s="8">
        <v>31</v>
      </c>
      <c r="BY41" s="20"/>
      <c r="BZ41" s="20"/>
      <c r="CA41" s="20"/>
      <c r="CB41" s="20"/>
    </row>
    <row r="42" spans="1:80" x14ac:dyDescent="0.2">
      <c r="A42" s="8">
        <v>32</v>
      </c>
      <c r="B42" s="20"/>
      <c r="C42" s="21"/>
      <c r="D42" s="20"/>
      <c r="E42" s="20"/>
      <c r="F42" s="8">
        <v>32</v>
      </c>
      <c r="G42" s="20"/>
      <c r="H42" s="22"/>
      <c r="I42" s="20"/>
      <c r="J42" s="20"/>
      <c r="K42" s="8">
        <v>32</v>
      </c>
      <c r="L42" s="20"/>
      <c r="M42" s="21"/>
      <c r="N42" s="20"/>
      <c r="O42" s="20"/>
      <c r="P42" s="8">
        <v>32</v>
      </c>
      <c r="Q42" s="20"/>
      <c r="R42" s="21"/>
      <c r="S42" s="20"/>
      <c r="T42" s="20"/>
      <c r="U42" s="8">
        <v>32</v>
      </c>
      <c r="V42" s="20"/>
      <c r="W42" s="20"/>
      <c r="X42" s="20"/>
      <c r="Y42" s="20"/>
      <c r="Z42" s="8">
        <v>32</v>
      </c>
      <c r="AA42" s="20"/>
      <c r="AB42" s="20"/>
      <c r="AC42" s="20"/>
      <c r="AD42" s="20"/>
      <c r="AE42" s="8">
        <v>32</v>
      </c>
      <c r="AF42" s="20"/>
      <c r="AG42" s="20"/>
      <c r="AH42" s="20"/>
      <c r="AI42" s="20"/>
      <c r="AJ42" s="8">
        <v>32</v>
      </c>
      <c r="AK42" s="20"/>
      <c r="AL42" s="20"/>
      <c r="AM42" s="20"/>
      <c r="AN42" s="20"/>
      <c r="AO42" s="8">
        <v>32</v>
      </c>
      <c r="AP42" s="20"/>
      <c r="AQ42" s="20"/>
      <c r="AR42" s="20"/>
      <c r="AS42" s="20"/>
      <c r="AT42" s="8">
        <v>32</v>
      </c>
      <c r="AU42" s="20"/>
      <c r="AV42" s="20"/>
      <c r="AW42" s="20"/>
      <c r="AX42" s="20"/>
      <c r="AY42" s="8">
        <v>32</v>
      </c>
      <c r="AZ42" s="20"/>
      <c r="BA42" s="20"/>
      <c r="BB42" s="20"/>
      <c r="BC42" s="20"/>
      <c r="BD42" s="8">
        <v>32</v>
      </c>
      <c r="BE42" s="20"/>
      <c r="BF42" s="20"/>
      <c r="BG42" s="20"/>
      <c r="BH42" s="20"/>
      <c r="BI42" s="8">
        <v>32</v>
      </c>
      <c r="BJ42" s="20"/>
      <c r="BK42" s="20"/>
      <c r="BL42" s="20"/>
      <c r="BM42" s="20"/>
      <c r="BN42" s="8">
        <v>32</v>
      </c>
      <c r="BO42" s="20"/>
      <c r="BP42" s="20"/>
      <c r="BQ42" s="20"/>
      <c r="BR42" s="20"/>
      <c r="BS42" s="8">
        <v>32</v>
      </c>
      <c r="BT42" s="20"/>
      <c r="BU42" s="20"/>
      <c r="BV42" s="20"/>
      <c r="BW42" s="20"/>
      <c r="BX42" s="8">
        <v>32</v>
      </c>
      <c r="BY42" s="20"/>
      <c r="BZ42" s="20"/>
      <c r="CA42" s="20"/>
      <c r="CB42" s="20"/>
    </row>
    <row r="43" spans="1:80" x14ac:dyDescent="0.2">
      <c r="A43" s="8">
        <v>33</v>
      </c>
      <c r="B43" s="20"/>
      <c r="C43" s="21"/>
      <c r="D43" s="20"/>
      <c r="E43" s="20"/>
      <c r="F43" s="8">
        <v>33</v>
      </c>
      <c r="G43" s="20"/>
      <c r="H43" s="22"/>
      <c r="I43" s="20"/>
      <c r="J43" s="20"/>
      <c r="K43" s="8">
        <v>33</v>
      </c>
      <c r="L43" s="20"/>
      <c r="M43" s="22"/>
      <c r="N43" s="20"/>
      <c r="O43" s="20"/>
      <c r="P43" s="8">
        <v>33</v>
      </c>
      <c r="Q43" s="20"/>
      <c r="R43" s="21"/>
      <c r="S43" s="20"/>
      <c r="T43" s="20"/>
      <c r="U43" s="8">
        <v>33</v>
      </c>
      <c r="V43" s="20"/>
      <c r="W43" s="20"/>
      <c r="X43" s="20"/>
      <c r="Y43" s="20"/>
      <c r="Z43" s="8">
        <v>33</v>
      </c>
      <c r="AA43" s="20"/>
      <c r="AB43" s="20"/>
      <c r="AC43" s="20"/>
      <c r="AD43" s="20"/>
      <c r="AE43" s="8">
        <v>33</v>
      </c>
      <c r="AF43" s="20"/>
      <c r="AG43" s="20"/>
      <c r="AH43" s="20"/>
      <c r="AI43" s="20"/>
      <c r="AJ43" s="8">
        <v>33</v>
      </c>
      <c r="AK43" s="20"/>
      <c r="AL43" s="20"/>
      <c r="AM43" s="20"/>
      <c r="AN43" s="20"/>
      <c r="AO43" s="8">
        <v>33</v>
      </c>
      <c r="AP43" s="20"/>
      <c r="AQ43" s="20"/>
      <c r="AR43" s="20"/>
      <c r="AS43" s="20"/>
      <c r="AT43" s="8">
        <v>33</v>
      </c>
      <c r="AU43" s="20"/>
      <c r="AV43" s="20"/>
      <c r="AW43" s="20"/>
      <c r="AX43" s="20"/>
      <c r="AY43" s="8">
        <v>33</v>
      </c>
      <c r="AZ43" s="20"/>
      <c r="BA43" s="20"/>
      <c r="BB43" s="20"/>
      <c r="BC43" s="20"/>
      <c r="BD43" s="8">
        <v>33</v>
      </c>
      <c r="BE43" s="20"/>
      <c r="BF43" s="20"/>
      <c r="BG43" s="20"/>
      <c r="BH43" s="20"/>
      <c r="BI43" s="8">
        <v>33</v>
      </c>
      <c r="BJ43" s="20"/>
      <c r="BK43" s="20"/>
      <c r="BL43" s="20"/>
      <c r="BM43" s="20"/>
      <c r="BN43" s="8">
        <v>33</v>
      </c>
      <c r="BO43" s="20"/>
      <c r="BP43" s="20"/>
      <c r="BQ43" s="20"/>
      <c r="BR43" s="20"/>
      <c r="BS43" s="8">
        <v>33</v>
      </c>
      <c r="BT43" s="20"/>
      <c r="BU43" s="20"/>
      <c r="BV43" s="20"/>
      <c r="BW43" s="20"/>
      <c r="BX43" s="8">
        <v>33</v>
      </c>
      <c r="BY43" s="20"/>
      <c r="BZ43" s="20"/>
      <c r="CA43" s="20"/>
      <c r="CB43" s="20"/>
    </row>
    <row r="44" spans="1:80" x14ac:dyDescent="0.2">
      <c r="A44" s="8">
        <v>34</v>
      </c>
      <c r="B44" s="20"/>
      <c r="C44"/>
      <c r="D44" s="20"/>
      <c r="E44" s="20"/>
      <c r="F44" s="8">
        <v>34</v>
      </c>
      <c r="G44" s="20"/>
      <c r="H44" s="22"/>
      <c r="I44" s="20"/>
      <c r="J44" s="20"/>
      <c r="K44" s="8">
        <v>34</v>
      </c>
      <c r="L44" s="20"/>
      <c r="M44" s="21"/>
      <c r="N44" s="20"/>
      <c r="O44" s="20"/>
      <c r="P44" s="8">
        <v>34</v>
      </c>
      <c r="Q44" s="20"/>
      <c r="R44" s="21"/>
      <c r="S44" s="20"/>
      <c r="T44" s="20"/>
      <c r="U44" s="8">
        <v>34</v>
      </c>
      <c r="V44" s="20"/>
      <c r="W44" s="20"/>
      <c r="X44" s="20"/>
      <c r="Y44" s="20"/>
      <c r="Z44" s="8">
        <v>34</v>
      </c>
      <c r="AA44" s="20"/>
      <c r="AB44" s="20"/>
      <c r="AC44" s="20"/>
      <c r="AD44" s="20"/>
      <c r="AE44" s="8">
        <v>34</v>
      </c>
      <c r="AF44" s="20"/>
      <c r="AG44" s="20"/>
      <c r="AH44" s="20"/>
      <c r="AI44" s="20"/>
      <c r="AJ44" s="8">
        <v>34</v>
      </c>
      <c r="AK44" s="20"/>
      <c r="AL44" s="20"/>
      <c r="AM44" s="20"/>
      <c r="AN44" s="20"/>
      <c r="AO44" s="8">
        <v>34</v>
      </c>
      <c r="AP44" s="20"/>
      <c r="AQ44" s="20"/>
      <c r="AR44" s="20"/>
      <c r="AS44" s="20"/>
      <c r="AT44" s="8">
        <v>34</v>
      </c>
      <c r="AU44" s="20"/>
      <c r="AV44" s="20"/>
      <c r="AW44" s="20"/>
      <c r="AX44" s="20"/>
      <c r="AY44" s="8">
        <v>34</v>
      </c>
      <c r="AZ44" s="20"/>
      <c r="BA44" s="20"/>
      <c r="BB44" s="20"/>
      <c r="BC44" s="20"/>
      <c r="BD44" s="8">
        <v>34</v>
      </c>
      <c r="BE44" s="20"/>
      <c r="BF44" s="20"/>
      <c r="BG44" s="20"/>
      <c r="BH44" s="20"/>
      <c r="BI44" s="8">
        <v>34</v>
      </c>
      <c r="BJ44" s="20"/>
      <c r="BK44" s="20"/>
      <c r="BL44" s="20"/>
      <c r="BM44" s="20"/>
      <c r="BN44" s="8">
        <v>34</v>
      </c>
      <c r="BO44" s="20"/>
      <c r="BP44" s="20"/>
      <c r="BQ44" s="20"/>
      <c r="BR44" s="20"/>
      <c r="BS44" s="8">
        <v>34</v>
      </c>
      <c r="BT44" s="20"/>
      <c r="BU44" s="20"/>
      <c r="BV44" s="20"/>
      <c r="BW44" s="20"/>
      <c r="BX44" s="8">
        <v>34</v>
      </c>
      <c r="BY44" s="20"/>
      <c r="BZ44" s="20"/>
      <c r="CA44" s="20"/>
      <c r="CB44" s="20"/>
    </row>
    <row r="45" spans="1:80" x14ac:dyDescent="0.2">
      <c r="A45"/>
      <c r="B45" s="20"/>
      <c r="C45"/>
      <c r="D45" s="20"/>
      <c r="E45" s="20"/>
      <c r="F45" s="8">
        <v>35</v>
      </c>
      <c r="G45" s="20"/>
      <c r="H45" s="22"/>
      <c r="I45" s="20"/>
      <c r="J45" s="20"/>
      <c r="K45" s="8">
        <v>35</v>
      </c>
      <c r="L45" s="20"/>
      <c r="M45" s="21"/>
      <c r="N45" s="20"/>
      <c r="O45" s="20"/>
      <c r="P45" s="8">
        <v>35</v>
      </c>
      <c r="Q45" s="20"/>
      <c r="R45" s="21"/>
      <c r="S45" s="20"/>
      <c r="T45" s="20"/>
      <c r="U45" s="8">
        <v>35</v>
      </c>
      <c r="V45" s="20"/>
      <c r="W45" s="20"/>
      <c r="X45" s="20"/>
      <c r="Y45" s="20"/>
      <c r="Z45" s="8">
        <v>35</v>
      </c>
      <c r="AA45" s="20"/>
      <c r="AB45" s="20"/>
      <c r="AC45" s="20"/>
      <c r="AD45" s="20"/>
      <c r="AE45" s="8">
        <v>35</v>
      </c>
      <c r="AF45" s="20"/>
      <c r="AG45" s="20"/>
      <c r="AH45" s="20"/>
      <c r="AI45" s="20"/>
      <c r="AJ45" s="8">
        <v>35</v>
      </c>
      <c r="AK45" s="20"/>
      <c r="AL45" s="20"/>
      <c r="AM45" s="20"/>
      <c r="AN45" s="20"/>
      <c r="AO45" s="8">
        <v>35</v>
      </c>
      <c r="AP45" s="20"/>
      <c r="AQ45" s="20"/>
      <c r="AR45" s="20"/>
      <c r="AS45" s="20"/>
      <c r="AT45" s="8">
        <v>35</v>
      </c>
      <c r="AU45" s="20"/>
      <c r="AV45" s="20"/>
      <c r="AW45" s="20"/>
      <c r="AX45" s="20"/>
      <c r="AY45" s="8">
        <v>35</v>
      </c>
      <c r="AZ45" s="20"/>
      <c r="BA45" s="20"/>
      <c r="BB45" s="20"/>
      <c r="BC45" s="20"/>
      <c r="BD45" s="8">
        <v>35</v>
      </c>
      <c r="BE45" s="20"/>
      <c r="BF45" s="20"/>
      <c r="BG45" s="20"/>
      <c r="BH45" s="20"/>
      <c r="BI45" s="8">
        <v>35</v>
      </c>
      <c r="BJ45" s="20"/>
      <c r="BK45" s="20"/>
      <c r="BL45" s="20"/>
      <c r="BM45" s="20"/>
      <c r="BN45" s="8">
        <v>35</v>
      </c>
      <c r="BO45" s="20"/>
      <c r="BP45" s="20"/>
      <c r="BQ45" s="20"/>
      <c r="BR45" s="20"/>
      <c r="BS45" s="8">
        <v>35</v>
      </c>
      <c r="BT45" s="20"/>
      <c r="BU45" s="20"/>
      <c r="BV45" s="20"/>
      <c r="BW45" s="20"/>
      <c r="BX45" s="8">
        <v>35</v>
      </c>
      <c r="BY45" s="20"/>
      <c r="BZ45" s="20"/>
      <c r="CA45" s="20"/>
      <c r="CB45" s="20"/>
    </row>
    <row r="46" spans="1:80" x14ac:dyDescent="0.2">
      <c r="A46" s="8">
        <v>36</v>
      </c>
      <c r="B46" s="20"/>
      <c r="C46" s="21"/>
      <c r="D46" s="20"/>
      <c r="E46" s="20"/>
      <c r="F46" s="8">
        <v>36</v>
      </c>
      <c r="G46" s="20"/>
      <c r="H46" s="22"/>
      <c r="I46" s="20"/>
      <c r="J46" s="20"/>
      <c r="K46" s="8">
        <v>36</v>
      </c>
      <c r="L46" s="20"/>
      <c r="M46" s="21"/>
      <c r="N46" s="20"/>
      <c r="O46" s="20"/>
      <c r="P46" s="8">
        <v>36</v>
      </c>
      <c r="Q46" s="20"/>
      <c r="R46" s="21"/>
      <c r="S46" s="20"/>
      <c r="T46" s="20"/>
      <c r="U46" s="8">
        <v>36</v>
      </c>
      <c r="V46" s="20"/>
      <c r="W46" s="20"/>
      <c r="X46" s="20"/>
      <c r="Y46" s="20"/>
      <c r="Z46" s="8">
        <v>36</v>
      </c>
      <c r="AA46" s="20"/>
      <c r="AB46" s="20"/>
      <c r="AC46" s="20"/>
      <c r="AD46" s="20"/>
      <c r="AE46" s="8">
        <v>36</v>
      </c>
      <c r="AF46" s="20"/>
      <c r="AG46" s="20"/>
      <c r="AH46" s="20"/>
      <c r="AI46" s="20"/>
      <c r="AJ46" s="8">
        <v>36</v>
      </c>
      <c r="AK46" s="20"/>
      <c r="AL46" s="20"/>
      <c r="AM46" s="20"/>
      <c r="AN46" s="20"/>
      <c r="AO46" s="8">
        <v>36</v>
      </c>
      <c r="AP46" s="20"/>
      <c r="AQ46" s="20"/>
      <c r="AR46" s="20"/>
      <c r="AS46" s="20"/>
      <c r="AT46" s="8">
        <v>36</v>
      </c>
      <c r="AU46" s="20"/>
      <c r="AV46" s="20"/>
      <c r="AW46" s="20"/>
      <c r="AX46" s="20"/>
      <c r="AY46" s="8">
        <v>36</v>
      </c>
      <c r="AZ46" s="20"/>
      <c r="BA46" s="20"/>
      <c r="BB46" s="20"/>
      <c r="BC46" s="20"/>
      <c r="BD46" s="8">
        <v>36</v>
      </c>
      <c r="BE46" s="20"/>
      <c r="BF46" s="20"/>
      <c r="BG46" s="20"/>
      <c r="BH46" s="20"/>
      <c r="BI46" s="8">
        <v>36</v>
      </c>
      <c r="BJ46" s="20"/>
      <c r="BK46" s="20"/>
      <c r="BL46" s="20"/>
      <c r="BM46" s="20"/>
      <c r="BN46" s="8">
        <v>36</v>
      </c>
      <c r="BO46" s="20"/>
      <c r="BP46" s="20"/>
      <c r="BQ46" s="20"/>
      <c r="BR46" s="20"/>
      <c r="BS46" s="8">
        <v>36</v>
      </c>
      <c r="BT46" s="20"/>
      <c r="BU46" s="20"/>
      <c r="BV46" s="20"/>
      <c r="BW46" s="20"/>
      <c r="BX46" s="8">
        <v>36</v>
      </c>
      <c r="BY46" s="20"/>
      <c r="BZ46" s="20"/>
      <c r="CA46" s="20"/>
      <c r="CB46" s="20"/>
    </row>
    <row r="47" spans="1:80" x14ac:dyDescent="0.2">
      <c r="A47" s="8">
        <v>37</v>
      </c>
      <c r="B47" s="20"/>
      <c r="C47" s="21"/>
      <c r="D47" s="20"/>
      <c r="E47" s="20"/>
      <c r="F47" s="8">
        <v>37</v>
      </c>
      <c r="G47" s="20"/>
      <c r="H47" s="22"/>
      <c r="I47" s="20"/>
      <c r="J47" s="20"/>
      <c r="K47" s="8">
        <v>37</v>
      </c>
      <c r="L47" s="20"/>
      <c r="M47" s="21"/>
      <c r="N47" s="20"/>
      <c r="O47" s="20"/>
      <c r="P47" s="8">
        <v>37</v>
      </c>
      <c r="Q47" s="20"/>
      <c r="R47" s="21"/>
      <c r="S47" s="20"/>
      <c r="T47" s="20"/>
      <c r="U47" s="8">
        <v>37</v>
      </c>
      <c r="V47" s="20"/>
      <c r="W47" s="20"/>
      <c r="X47" s="20"/>
      <c r="Y47" s="20"/>
      <c r="Z47" s="8">
        <v>37</v>
      </c>
      <c r="AA47" s="20"/>
      <c r="AB47" s="20"/>
      <c r="AC47" s="20"/>
      <c r="AD47" s="20"/>
      <c r="AE47" s="8">
        <v>37</v>
      </c>
      <c r="AF47" s="20"/>
      <c r="AG47" s="20"/>
      <c r="AH47" s="20"/>
      <c r="AI47" s="20"/>
      <c r="AJ47" s="8">
        <v>37</v>
      </c>
      <c r="AK47" s="20"/>
      <c r="AL47" s="20"/>
      <c r="AM47" s="20"/>
      <c r="AN47" s="20"/>
      <c r="AO47" s="8">
        <v>37</v>
      </c>
      <c r="AP47" s="20"/>
      <c r="AQ47" s="20"/>
      <c r="AR47" s="20"/>
      <c r="AS47" s="20"/>
      <c r="AT47" s="8">
        <v>37</v>
      </c>
      <c r="AU47" s="20"/>
      <c r="AV47" s="20"/>
      <c r="AW47" s="20"/>
      <c r="AX47" s="20"/>
      <c r="AY47" s="8">
        <v>37</v>
      </c>
      <c r="AZ47" s="20"/>
      <c r="BA47" s="20"/>
      <c r="BB47" s="20"/>
      <c r="BC47" s="20"/>
      <c r="BD47" s="8">
        <v>37</v>
      </c>
      <c r="BE47" s="20"/>
      <c r="BF47" s="20"/>
      <c r="BG47" s="20"/>
      <c r="BH47" s="20"/>
      <c r="BI47" s="8">
        <v>37</v>
      </c>
      <c r="BJ47" s="20"/>
      <c r="BK47" s="20"/>
      <c r="BL47" s="20"/>
      <c r="BM47" s="20"/>
      <c r="BN47" s="8">
        <v>37</v>
      </c>
      <c r="BO47" s="20"/>
      <c r="BP47" s="20"/>
      <c r="BQ47" s="20"/>
      <c r="BR47" s="20"/>
      <c r="BS47" s="8">
        <v>37</v>
      </c>
      <c r="BT47" s="20"/>
      <c r="BU47" s="20"/>
      <c r="BV47" s="20"/>
      <c r="BW47" s="20"/>
      <c r="BX47" s="8">
        <v>37</v>
      </c>
      <c r="BY47" s="20"/>
      <c r="BZ47" s="20"/>
      <c r="CA47" s="20"/>
      <c r="CB47" s="20"/>
    </row>
    <row r="48" spans="1:80" x14ac:dyDescent="0.2">
      <c r="A48" s="8">
        <v>38</v>
      </c>
      <c r="B48" s="20"/>
      <c r="C48" s="21"/>
      <c r="D48" s="20"/>
      <c r="E48" s="20"/>
      <c r="F48" s="8">
        <v>38</v>
      </c>
      <c r="G48" s="20"/>
      <c r="H48" s="22"/>
      <c r="I48" s="20"/>
      <c r="J48" s="20"/>
      <c r="K48" s="8">
        <v>38</v>
      </c>
      <c r="L48" s="20"/>
      <c r="M48" s="21"/>
      <c r="N48" s="20"/>
      <c r="O48" s="20"/>
      <c r="P48" s="8">
        <v>38</v>
      </c>
      <c r="Q48" s="20"/>
      <c r="R48" s="21"/>
      <c r="S48" s="20"/>
      <c r="T48" s="20"/>
      <c r="U48" s="8">
        <v>38</v>
      </c>
      <c r="V48" s="20"/>
      <c r="W48" s="20"/>
      <c r="X48" s="20"/>
      <c r="Y48" s="20"/>
      <c r="Z48" s="8">
        <v>38</v>
      </c>
      <c r="AA48" s="20"/>
      <c r="AB48" s="20"/>
      <c r="AC48" s="20"/>
      <c r="AD48" s="20"/>
      <c r="AE48" s="8">
        <v>38</v>
      </c>
      <c r="AF48" s="20"/>
      <c r="AG48" s="20"/>
      <c r="AH48" s="20"/>
      <c r="AI48" s="20"/>
      <c r="AJ48" s="8">
        <v>38</v>
      </c>
      <c r="AK48" s="20"/>
      <c r="AL48" s="20"/>
      <c r="AM48" s="20"/>
      <c r="AN48" s="20"/>
      <c r="AO48" s="8">
        <v>38</v>
      </c>
      <c r="AP48" s="20"/>
      <c r="AQ48" s="20"/>
      <c r="AR48" s="20"/>
      <c r="AS48" s="20"/>
      <c r="AT48" s="8">
        <v>38</v>
      </c>
      <c r="AU48" s="20"/>
      <c r="AV48" s="20"/>
      <c r="AW48" s="20"/>
      <c r="AX48" s="20"/>
      <c r="AY48" s="8">
        <v>38</v>
      </c>
      <c r="AZ48" s="20"/>
      <c r="BA48" s="20"/>
      <c r="BB48" s="20"/>
      <c r="BC48" s="20"/>
      <c r="BD48" s="8">
        <v>38</v>
      </c>
      <c r="BE48" s="20"/>
      <c r="BF48" s="20"/>
      <c r="BG48" s="20"/>
      <c r="BH48" s="20"/>
      <c r="BI48" s="8">
        <v>38</v>
      </c>
      <c r="BJ48" s="20"/>
      <c r="BK48" s="20"/>
      <c r="BL48" s="20"/>
      <c r="BM48" s="20"/>
      <c r="BN48" s="8">
        <v>38</v>
      </c>
      <c r="BO48" s="20"/>
      <c r="BP48" s="20"/>
      <c r="BQ48" s="20"/>
      <c r="BR48" s="20"/>
      <c r="BS48" s="8">
        <v>38</v>
      </c>
      <c r="BT48" s="20"/>
      <c r="BU48" s="20"/>
      <c r="BV48" s="20"/>
      <c r="BW48" s="20"/>
      <c r="BX48" s="8">
        <v>38</v>
      </c>
      <c r="BY48" s="20"/>
      <c r="BZ48" s="20"/>
      <c r="CA48" s="20"/>
      <c r="CB48" s="20"/>
    </row>
    <row r="49" spans="1:80" x14ac:dyDescent="0.2">
      <c r="A49" s="8">
        <v>39</v>
      </c>
      <c r="B49" s="20"/>
      <c r="C49" s="21"/>
      <c r="D49" s="20"/>
      <c r="E49" s="20"/>
      <c r="F49" s="8">
        <v>39</v>
      </c>
      <c r="G49" s="20"/>
      <c r="H49" s="22"/>
      <c r="I49" s="20"/>
      <c r="J49" s="20"/>
      <c r="K49" s="8">
        <v>39</v>
      </c>
      <c r="L49" s="20"/>
      <c r="M49" s="22"/>
      <c r="N49" s="20"/>
      <c r="O49" s="20"/>
      <c r="P49" s="8">
        <v>39</v>
      </c>
      <c r="Q49" s="20"/>
      <c r="R49" s="21"/>
      <c r="S49" s="20"/>
      <c r="T49" s="20"/>
      <c r="U49" s="8">
        <v>39</v>
      </c>
      <c r="V49" s="20"/>
      <c r="W49" s="20"/>
      <c r="X49" s="20"/>
      <c r="Y49" s="20"/>
      <c r="Z49" s="8">
        <v>39</v>
      </c>
      <c r="AA49" s="20"/>
      <c r="AB49" s="20"/>
      <c r="AC49" s="20"/>
      <c r="AD49" s="20"/>
      <c r="AE49" s="8">
        <v>39</v>
      </c>
      <c r="AF49" s="20"/>
      <c r="AG49" s="20"/>
      <c r="AH49" s="20"/>
      <c r="AI49" s="20"/>
      <c r="AJ49" s="8">
        <v>39</v>
      </c>
      <c r="AK49" s="20"/>
      <c r="AL49" s="20"/>
      <c r="AM49" s="20"/>
      <c r="AN49" s="20"/>
      <c r="AO49" s="8">
        <v>39</v>
      </c>
      <c r="AP49" s="20"/>
      <c r="AQ49" s="20"/>
      <c r="AR49" s="20"/>
      <c r="AS49" s="20"/>
      <c r="AT49" s="8">
        <v>39</v>
      </c>
      <c r="AU49" s="20"/>
      <c r="AV49" s="20"/>
      <c r="AW49" s="20"/>
      <c r="AX49" s="20"/>
      <c r="AY49" s="8">
        <v>39</v>
      </c>
      <c r="AZ49" s="20"/>
      <c r="BA49" s="20"/>
      <c r="BB49" s="20"/>
      <c r="BC49" s="20"/>
      <c r="BD49" s="8">
        <v>39</v>
      </c>
      <c r="BE49" s="20"/>
      <c r="BF49" s="20"/>
      <c r="BG49" s="20"/>
      <c r="BH49" s="20"/>
      <c r="BI49" s="8">
        <v>39</v>
      </c>
      <c r="BJ49" s="20"/>
      <c r="BK49" s="20"/>
      <c r="BL49" s="20"/>
      <c r="BM49" s="20"/>
      <c r="BN49" s="8">
        <v>39</v>
      </c>
      <c r="BO49" s="20"/>
      <c r="BP49" s="20"/>
      <c r="BQ49" s="20"/>
      <c r="BR49" s="20"/>
      <c r="BS49" s="8">
        <v>39</v>
      </c>
      <c r="BT49" s="20"/>
      <c r="BU49" s="20"/>
      <c r="BV49" s="20"/>
      <c r="BW49" s="20"/>
      <c r="BX49" s="8">
        <v>39</v>
      </c>
      <c r="BY49" s="20"/>
      <c r="BZ49" s="20"/>
      <c r="CA49" s="20"/>
      <c r="CB49" s="20"/>
    </row>
    <row r="50" spans="1:80" x14ac:dyDescent="0.2">
      <c r="A50" s="8">
        <v>40</v>
      </c>
      <c r="B50" s="20"/>
      <c r="C50" s="21"/>
      <c r="D50" s="20"/>
      <c r="E50" s="20"/>
      <c r="F50" s="8">
        <v>40</v>
      </c>
      <c r="G50" s="20"/>
      <c r="H50" s="22"/>
      <c r="I50" s="20"/>
      <c r="J50" s="20"/>
      <c r="K50" s="8">
        <v>40</v>
      </c>
      <c r="L50" s="20"/>
      <c r="M50" s="21"/>
      <c r="N50" s="20"/>
      <c r="O50" s="20"/>
      <c r="P50" s="8">
        <v>40</v>
      </c>
      <c r="Q50" s="20"/>
      <c r="R50" s="21"/>
      <c r="S50" s="20"/>
      <c r="T50" s="20"/>
      <c r="U50" s="8">
        <v>40</v>
      </c>
      <c r="V50" s="20"/>
      <c r="W50" s="20"/>
      <c r="X50" s="20"/>
      <c r="Y50" s="20"/>
      <c r="Z50" s="8">
        <v>40</v>
      </c>
      <c r="AA50" s="20"/>
      <c r="AB50" s="20"/>
      <c r="AC50" s="20"/>
      <c r="AD50" s="20"/>
      <c r="AE50" s="8">
        <v>40</v>
      </c>
      <c r="AF50" s="20"/>
      <c r="AG50" s="20"/>
      <c r="AH50" s="20"/>
      <c r="AI50" s="20"/>
      <c r="AJ50" s="8">
        <v>40</v>
      </c>
      <c r="AK50" s="20"/>
      <c r="AL50" s="20"/>
      <c r="AM50" s="20"/>
      <c r="AN50" s="20"/>
      <c r="AO50" s="8">
        <v>40</v>
      </c>
      <c r="AP50" s="20"/>
      <c r="AQ50" s="20"/>
      <c r="AR50" s="20"/>
      <c r="AS50" s="20"/>
      <c r="AT50" s="8">
        <v>40</v>
      </c>
      <c r="AU50" s="20"/>
      <c r="AV50" s="20"/>
      <c r="AW50" s="20"/>
      <c r="AX50" s="20"/>
      <c r="AY50" s="8">
        <v>40</v>
      </c>
      <c r="AZ50" s="20"/>
      <c r="BA50" s="20"/>
      <c r="BB50" s="20"/>
      <c r="BC50" s="20"/>
      <c r="BD50" s="8">
        <v>40</v>
      </c>
      <c r="BE50" s="20"/>
      <c r="BF50" s="20"/>
      <c r="BG50" s="20"/>
      <c r="BH50" s="20"/>
      <c r="BI50" s="8">
        <v>40</v>
      </c>
      <c r="BJ50" s="20"/>
      <c r="BK50" s="20"/>
      <c r="BL50" s="20"/>
      <c r="BM50" s="20"/>
      <c r="BN50" s="8">
        <v>40</v>
      </c>
      <c r="BO50" s="20"/>
      <c r="BP50" s="20"/>
      <c r="BQ50" s="20"/>
      <c r="BR50" s="20"/>
      <c r="BS50" s="8">
        <v>40</v>
      </c>
      <c r="BT50" s="20"/>
      <c r="BU50" s="20"/>
      <c r="BV50" s="20"/>
      <c r="BW50" s="20"/>
      <c r="BX50" s="8">
        <v>40</v>
      </c>
      <c r="BY50" s="20"/>
      <c r="BZ50" s="20"/>
      <c r="CA50" s="20"/>
      <c r="CB50" s="20"/>
    </row>
    <row r="51" spans="1:80" x14ac:dyDescent="0.2">
      <c r="B51" s="10"/>
    </row>
    <row r="52" spans="1:80" x14ac:dyDescent="0.2">
      <c r="B52" s="10"/>
    </row>
    <row r="53" spans="1:80" x14ac:dyDescent="0.2">
      <c r="B53" s="10"/>
    </row>
    <row r="54" spans="1:80" x14ac:dyDescent="0.2">
      <c r="B54" s="10"/>
    </row>
    <row r="55" spans="1:80" ht="18" x14ac:dyDescent="0.25">
      <c r="Z55" s="34"/>
      <c r="BD55" s="34"/>
    </row>
    <row r="60" spans="1:80" ht="30.75" x14ac:dyDescent="0.4">
      <c r="A60" s="9" t="s">
        <v>0</v>
      </c>
    </row>
    <row r="61" spans="1:80" x14ac:dyDescent="0.2">
      <c r="B61" s="20"/>
      <c r="C61" s="21"/>
      <c r="D61" s="20"/>
      <c r="E61" s="20"/>
      <c r="G61" s="20"/>
      <c r="H61" s="21"/>
    </row>
    <row r="62" spans="1:80" x14ac:dyDescent="0.2">
      <c r="B62" s="20"/>
      <c r="C62" s="21"/>
      <c r="D62" s="20"/>
      <c r="E62" s="20"/>
      <c r="G62" s="20"/>
      <c r="H62" s="21"/>
    </row>
    <row r="63" spans="1:80" x14ac:dyDescent="0.2">
      <c r="B63" s="20"/>
      <c r="C63" s="21"/>
      <c r="D63" s="20"/>
      <c r="E63" s="20"/>
      <c r="G63" s="20"/>
      <c r="H63" s="21"/>
    </row>
    <row r="64" spans="1:80" x14ac:dyDescent="0.2">
      <c r="B64" s="20"/>
      <c r="C64" s="21"/>
      <c r="D64" s="20"/>
      <c r="E64" s="20"/>
      <c r="G64" s="20"/>
      <c r="H64" s="21"/>
    </row>
    <row r="65" spans="2:8" x14ac:dyDescent="0.2">
      <c r="B65" s="20"/>
      <c r="C65" s="21"/>
      <c r="D65" s="20"/>
      <c r="E65" s="20"/>
      <c r="G65" s="20"/>
      <c r="H65" s="21"/>
    </row>
    <row r="66" spans="2:8" x14ac:dyDescent="0.2">
      <c r="B66" s="20"/>
      <c r="C66" s="21"/>
      <c r="D66" s="20"/>
      <c r="E66" s="20"/>
      <c r="G66" s="20"/>
      <c r="H66" s="21"/>
    </row>
    <row r="67" spans="2:8" x14ac:dyDescent="0.2">
      <c r="B67" s="20"/>
      <c r="C67" s="21"/>
      <c r="D67" s="20"/>
      <c r="E67" s="20"/>
      <c r="G67" s="20"/>
      <c r="H67" s="22"/>
    </row>
    <row r="68" spans="2:8" x14ac:dyDescent="0.2">
      <c r="B68" s="20"/>
      <c r="C68" s="21"/>
      <c r="D68" s="20"/>
      <c r="E68" s="20"/>
      <c r="G68" s="20"/>
      <c r="H68" s="22"/>
    </row>
    <row r="69" spans="2:8" x14ac:dyDescent="0.2">
      <c r="B69" s="20"/>
      <c r="C69" s="21"/>
      <c r="D69" s="20"/>
      <c r="E69" s="20"/>
      <c r="G69" s="20"/>
      <c r="H69" s="22"/>
    </row>
    <row r="70" spans="2:8" x14ac:dyDescent="0.2">
      <c r="B70" s="20"/>
      <c r="C70" s="21"/>
      <c r="D70" s="20"/>
      <c r="E70" s="20"/>
      <c r="G70" s="20"/>
      <c r="H70" s="22"/>
    </row>
    <row r="71" spans="2:8" x14ac:dyDescent="0.2">
      <c r="B71" s="20"/>
      <c r="C71" s="21"/>
      <c r="D71" s="20"/>
      <c r="E71" s="20"/>
      <c r="G71" s="20"/>
      <c r="H71" s="22"/>
    </row>
    <row r="72" spans="2:8" x14ac:dyDescent="0.2">
      <c r="B72" s="20"/>
      <c r="C72" s="21"/>
      <c r="D72" s="20"/>
      <c r="E72" s="20"/>
      <c r="G72" s="20"/>
      <c r="H72" s="22"/>
    </row>
    <row r="73" spans="2:8" x14ac:dyDescent="0.2">
      <c r="B73" s="20"/>
      <c r="C73" s="21"/>
      <c r="D73" s="20"/>
      <c r="E73" s="20"/>
      <c r="G73" s="20"/>
      <c r="H73" s="22"/>
    </row>
    <row r="74" spans="2:8" x14ac:dyDescent="0.2">
      <c r="B74" s="20"/>
      <c r="C74" s="21"/>
      <c r="D74" s="20"/>
      <c r="E74" s="20"/>
      <c r="G74" s="20"/>
      <c r="H74" s="22"/>
    </row>
    <row r="75" spans="2:8" x14ac:dyDescent="0.2">
      <c r="B75" s="20"/>
      <c r="C75" s="21"/>
      <c r="D75" s="20"/>
      <c r="E75" s="20"/>
      <c r="G75" s="20"/>
      <c r="H75" s="22"/>
    </row>
    <row r="76" spans="2:8" x14ac:dyDescent="0.2">
      <c r="B76" s="20"/>
      <c r="C76" s="21"/>
      <c r="D76" s="20"/>
      <c r="E76" s="20"/>
      <c r="G76" s="20"/>
      <c r="H76" s="22"/>
    </row>
    <row r="77" spans="2:8" x14ac:dyDescent="0.2">
      <c r="B77" s="20"/>
      <c r="C77" s="21"/>
      <c r="D77" s="20"/>
      <c r="E77" s="20"/>
      <c r="G77" s="20"/>
      <c r="H77" s="22"/>
    </row>
    <row r="78" spans="2:8" x14ac:dyDescent="0.2">
      <c r="B78" s="20"/>
      <c r="C78" s="21"/>
      <c r="D78" s="20"/>
      <c r="E78" s="20"/>
      <c r="G78" s="20"/>
      <c r="H78" s="22"/>
    </row>
    <row r="79" spans="2:8" x14ac:dyDescent="0.2">
      <c r="B79" s="20"/>
      <c r="C79" s="21"/>
      <c r="D79" s="20"/>
      <c r="E79" s="20"/>
      <c r="G79" s="20"/>
      <c r="H79" s="22"/>
    </row>
    <row r="80" spans="2:8" x14ac:dyDescent="0.2">
      <c r="B80" s="20"/>
      <c r="C80" s="21"/>
      <c r="D80" s="20"/>
      <c r="E80" s="20"/>
      <c r="G80" s="20"/>
      <c r="H80" s="22"/>
    </row>
    <row r="81" spans="2:8" x14ac:dyDescent="0.2">
      <c r="B81" s="20"/>
      <c r="C81" s="21"/>
      <c r="D81" s="20"/>
      <c r="E81" s="20"/>
      <c r="G81" s="20"/>
      <c r="H81" s="22"/>
    </row>
  </sheetData>
  <mergeCells count="67">
    <mergeCell ref="B2:C2"/>
    <mergeCell ref="B1:C1"/>
    <mergeCell ref="F3:J3"/>
    <mergeCell ref="G4:J4"/>
    <mergeCell ref="I5:J5"/>
    <mergeCell ref="B4:E4"/>
    <mergeCell ref="A3:E3"/>
    <mergeCell ref="D5:E5"/>
    <mergeCell ref="G7:J7"/>
    <mergeCell ref="B7:E7"/>
    <mergeCell ref="L7:O7"/>
    <mergeCell ref="P3:T3"/>
    <mergeCell ref="Q4:T4"/>
    <mergeCell ref="Q7:T7"/>
    <mergeCell ref="N5:O5"/>
    <mergeCell ref="S5:T5"/>
    <mergeCell ref="L4:O4"/>
    <mergeCell ref="K1:M1"/>
    <mergeCell ref="Z3:AD3"/>
    <mergeCell ref="AA4:AD4"/>
    <mergeCell ref="AC5:AD5"/>
    <mergeCell ref="AA7:AD7"/>
    <mergeCell ref="V7:Y7"/>
    <mergeCell ref="X5:Y5"/>
    <mergeCell ref="U3:Y3"/>
    <mergeCell ref="V4:Y4"/>
    <mergeCell ref="K3:O3"/>
    <mergeCell ref="AE3:AI3"/>
    <mergeCell ref="AF4:AI4"/>
    <mergeCell ref="AH5:AI5"/>
    <mergeCell ref="AF7:AI7"/>
    <mergeCell ref="AJ3:AN3"/>
    <mergeCell ref="AK4:AN4"/>
    <mergeCell ref="AM5:AN5"/>
    <mergeCell ref="AK7:AN7"/>
    <mergeCell ref="AO3:AS3"/>
    <mergeCell ref="AP4:AS4"/>
    <mergeCell ref="AR5:AS5"/>
    <mergeCell ref="AP7:AS7"/>
    <mergeCell ref="AT3:AX3"/>
    <mergeCell ref="AU4:AX4"/>
    <mergeCell ref="AW5:AX5"/>
    <mergeCell ref="AU7:AX7"/>
    <mergeCell ref="AZ7:BC7"/>
    <mergeCell ref="BE7:BH7"/>
    <mergeCell ref="AY3:BC3"/>
    <mergeCell ref="BD3:BH3"/>
    <mergeCell ref="AZ4:BC4"/>
    <mergeCell ref="BE4:BH4"/>
    <mergeCell ref="BB5:BC5"/>
    <mergeCell ref="BG5:BH5"/>
    <mergeCell ref="BI3:BM3"/>
    <mergeCell ref="BN3:BR3"/>
    <mergeCell ref="BS3:BW3"/>
    <mergeCell ref="BX3:CB3"/>
    <mergeCell ref="BJ4:BM4"/>
    <mergeCell ref="BO4:BR4"/>
    <mergeCell ref="BT4:BW4"/>
    <mergeCell ref="BY4:CB4"/>
    <mergeCell ref="BL5:BM5"/>
    <mergeCell ref="BQ5:BR5"/>
    <mergeCell ref="BV5:BW5"/>
    <mergeCell ref="CA5:CB5"/>
    <mergeCell ref="BJ7:BM7"/>
    <mergeCell ref="BO7:BR7"/>
    <mergeCell ref="BT7:BW7"/>
    <mergeCell ref="BY7:CB7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3</xdr:col>
                <xdr:colOff>295275</xdr:colOff>
                <xdr:row>2</xdr:row>
                <xdr:rowOff>47625</xdr:rowOff>
              </from>
              <to>
                <xdr:col>5</xdr:col>
                <xdr:colOff>257175</xdr:colOff>
                <xdr:row>3</xdr:row>
                <xdr:rowOff>19050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>
              <from>
                <xdr:col>3</xdr:col>
                <xdr:colOff>85725</xdr:colOff>
                <xdr:row>0</xdr:row>
                <xdr:rowOff>0</xdr:rowOff>
              </from>
              <to>
                <xdr:col>5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autoPict="0" r:id="rId9">
            <anchor moveWithCells="1">
              <from>
                <xdr:col>3</xdr:col>
                <xdr:colOff>104775</xdr:colOff>
                <xdr:row>1</xdr:row>
                <xdr:rowOff>9525</xdr:rowOff>
              </from>
              <to>
                <xdr:col>5</xdr:col>
                <xdr:colOff>19050</xdr:colOff>
                <xdr:row>1</xdr:row>
                <xdr:rowOff>361950</xdr:rowOff>
              </to>
            </anchor>
          </controlPr>
        </control>
      </mc:Choice>
      <mc:Fallback>
        <control shapeId="1027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Z417"/>
  <sheetViews>
    <sheetView tabSelected="1" zoomScale="85" zoomScaleNormal="85" workbookViewId="0"/>
  </sheetViews>
  <sheetFormatPr defaultColWidth="10.28515625" defaultRowHeight="12.75" x14ac:dyDescent="0.2"/>
  <cols>
    <col min="1" max="1" width="9" style="3" bestFit="1" customWidth="1"/>
    <col min="2" max="2" width="7.28515625" style="3" bestFit="1" customWidth="1"/>
    <col min="3" max="3" width="7" style="3" bestFit="1" customWidth="1"/>
    <col min="4" max="4" width="8.5703125" style="3" bestFit="1" customWidth="1"/>
    <col min="5" max="5" width="8.42578125" style="3" bestFit="1" customWidth="1"/>
    <col min="6" max="7" width="9.5703125" style="3" bestFit="1" customWidth="1"/>
    <col min="8" max="9" width="8.7109375" style="3" bestFit="1" customWidth="1"/>
    <col min="10" max="10" width="8.85546875" style="3" bestFit="1" customWidth="1"/>
    <col min="11" max="11" width="10.28515625" style="3"/>
    <col min="12" max="13" width="11.7109375" style="3" bestFit="1" customWidth="1"/>
    <col min="14" max="16" width="9.140625" style="3" bestFit="1" customWidth="1"/>
    <col min="17" max="19" width="9.7109375" style="3" bestFit="1" customWidth="1"/>
    <col min="20" max="20" width="9.7109375" style="3" customWidth="1"/>
    <col min="21" max="24" width="9.7109375" style="3" bestFit="1" customWidth="1"/>
    <col min="25" max="25" width="9.140625" style="3" bestFit="1" customWidth="1"/>
    <col min="26" max="26" width="8.85546875" style="3" bestFit="1" customWidth="1"/>
    <col min="27" max="27" width="9.140625" style="3" customWidth="1"/>
    <col min="28" max="28" width="9.140625" style="3" bestFit="1" customWidth="1"/>
    <col min="29" max="29" width="8.5703125" style="3" bestFit="1" customWidth="1"/>
    <col min="30" max="30" width="8.42578125" style="3" bestFit="1" customWidth="1"/>
    <col min="31" max="31" width="9" style="3" bestFit="1" customWidth="1"/>
    <col min="32" max="32" width="7.28515625" style="3" bestFit="1" customWidth="1"/>
    <col min="33" max="33" width="7" style="3" bestFit="1" customWidth="1"/>
    <col min="34" max="34" width="8.5703125" style="3" bestFit="1" customWidth="1"/>
    <col min="35" max="35" width="8.42578125" style="3" bestFit="1" customWidth="1"/>
    <col min="36" max="37" width="9.5703125" style="3" bestFit="1" customWidth="1"/>
    <col min="38" max="39" width="8.7109375" style="3" bestFit="1" customWidth="1"/>
    <col min="40" max="40" width="8.85546875" style="3" bestFit="1" customWidth="1"/>
    <col min="41" max="41" width="5.7109375" style="3" bestFit="1" customWidth="1"/>
    <col min="42" max="43" width="11.7109375" style="3" bestFit="1" customWidth="1"/>
    <col min="44" max="46" width="9.140625" style="3" bestFit="1" customWidth="1"/>
    <col min="47" max="50" width="9.7109375" style="3" bestFit="1" customWidth="1"/>
    <col min="51" max="51" width="8.7109375" style="3" bestFit="1" customWidth="1"/>
    <col min="52" max="54" width="9.7109375" style="3" bestFit="1" customWidth="1"/>
    <col min="55" max="56" width="9.140625" style="3" bestFit="1" customWidth="1"/>
    <col min="57" max="57" width="9.140625" style="3" customWidth="1"/>
    <col min="58" max="58" width="9.140625" style="3" bestFit="1" customWidth="1"/>
    <col min="59" max="59" width="8.7109375" style="3" bestFit="1" customWidth="1"/>
    <col min="60" max="60" width="8.85546875" style="3" bestFit="1" customWidth="1"/>
    <col min="61" max="61" width="9" style="3" bestFit="1" customWidth="1"/>
    <col min="62" max="62" width="7.28515625" style="3" bestFit="1" customWidth="1"/>
    <col min="63" max="63" width="7" style="3" bestFit="1" customWidth="1"/>
    <col min="64" max="64" width="8.5703125" style="3" bestFit="1" customWidth="1"/>
    <col min="65" max="65" width="8.42578125" style="3" bestFit="1" customWidth="1"/>
    <col min="66" max="67" width="9.5703125" style="3" bestFit="1" customWidth="1"/>
    <col min="68" max="69" width="8.7109375" style="3" bestFit="1" customWidth="1"/>
    <col min="70" max="70" width="8.85546875" style="3" bestFit="1" customWidth="1"/>
    <col min="71" max="71" width="5.7109375" style="3" bestFit="1" customWidth="1"/>
    <col min="72" max="73" width="11.7109375" style="3" bestFit="1" customWidth="1"/>
    <col min="74" max="76" width="9.140625" style="3" bestFit="1" customWidth="1"/>
    <col min="77" max="86" width="9.7109375" style="3" bestFit="1" customWidth="1"/>
    <col min="87" max="87" width="9.140625" style="3" customWidth="1"/>
    <col min="88" max="88" width="9.140625" style="3" bestFit="1" customWidth="1"/>
    <col min="89" max="90" width="10.28515625" style="3"/>
    <col min="91" max="91" width="8.7109375" style="3" bestFit="1" customWidth="1"/>
    <col min="92" max="92" width="7.5703125" style="3" bestFit="1" customWidth="1"/>
    <col min="93" max="93" width="7.140625" style="3" bestFit="1" customWidth="1"/>
    <col min="94" max="94" width="8.7109375" style="3" bestFit="1" customWidth="1"/>
    <col min="95" max="95" width="8.5703125" style="3" bestFit="1" customWidth="1"/>
    <col min="96" max="97" width="9.140625" style="3" bestFit="1" customWidth="1"/>
    <col min="98" max="98" width="8.7109375" style="3" bestFit="1" customWidth="1"/>
    <col min="99" max="99" width="10.140625" style="3" bestFit="1" customWidth="1"/>
    <col min="100" max="100" width="9" style="3" bestFit="1" customWidth="1"/>
    <col min="101" max="101" width="10.28515625" style="3"/>
    <col min="102" max="103" width="12.140625" style="3" bestFit="1" customWidth="1"/>
    <col min="104" max="104" width="9.7109375" style="3" bestFit="1" customWidth="1"/>
    <col min="105" max="131" width="10.28515625" style="3"/>
    <col min="132" max="133" width="12" style="3" customWidth="1"/>
    <col min="134" max="161" width="10.28515625" style="3"/>
    <col min="162" max="162" width="12.5703125" style="3" customWidth="1"/>
    <col min="163" max="163" width="12.140625" style="3" customWidth="1"/>
    <col min="164" max="191" width="10.28515625" style="3"/>
    <col min="192" max="192" width="12.5703125" style="3" customWidth="1"/>
    <col min="193" max="193" width="11.85546875" style="3" customWidth="1"/>
    <col min="194" max="221" width="10.28515625" style="3"/>
    <col min="222" max="222" width="12.85546875" style="3" customWidth="1"/>
    <col min="223" max="223" width="12.42578125" style="3" customWidth="1"/>
    <col min="224" max="251" width="10.28515625" style="3"/>
    <col min="252" max="252" width="12.5703125" style="3" customWidth="1"/>
    <col min="253" max="253" width="12.140625" style="3" customWidth="1"/>
    <col min="254" max="281" width="10.28515625" style="3"/>
    <col min="282" max="282" width="11.85546875" style="3" customWidth="1"/>
    <col min="283" max="283" width="12.140625" style="3" customWidth="1"/>
    <col min="284" max="311" width="10.28515625" style="3"/>
    <col min="312" max="312" width="12.7109375" style="3" customWidth="1"/>
    <col min="313" max="313" width="12.140625" style="3" customWidth="1"/>
    <col min="314" max="341" width="10.28515625" style="3"/>
    <col min="342" max="342" width="11.85546875" style="3" customWidth="1"/>
    <col min="343" max="343" width="12.7109375" style="3" customWidth="1"/>
    <col min="344" max="371" width="10.28515625" style="3"/>
    <col min="372" max="372" width="12.42578125" style="3" customWidth="1"/>
    <col min="373" max="373" width="12.140625" style="3" customWidth="1"/>
    <col min="374" max="431" width="10.28515625" style="3"/>
    <col min="432" max="433" width="11.85546875" style="3" customWidth="1"/>
    <col min="434" max="461" width="10.28515625" style="3"/>
    <col min="462" max="462" width="12.140625" style="3" customWidth="1"/>
    <col min="463" max="463" width="12.28515625" style="3" customWidth="1"/>
    <col min="464" max="494" width="10.28515625" style="3"/>
    <col min="495" max="16384" width="10.28515625" style="1"/>
  </cols>
  <sheetData>
    <row r="1" spans="1:494" s="37" customFormat="1" ht="64.5" x14ac:dyDescent="0.25">
      <c r="A1" s="29" t="s">
        <v>46</v>
      </c>
      <c r="B1" s="29" t="s">
        <v>47</v>
      </c>
      <c r="C1" s="29" t="s">
        <v>48</v>
      </c>
      <c r="D1" s="29" t="s">
        <v>49</v>
      </c>
      <c r="E1" s="29" t="s">
        <v>50</v>
      </c>
      <c r="F1" s="29" t="s">
        <v>51</v>
      </c>
      <c r="G1" s="29" t="s">
        <v>52</v>
      </c>
      <c r="H1" s="30" t="s">
        <v>53</v>
      </c>
      <c r="I1" s="30" t="s">
        <v>54</v>
      </c>
      <c r="J1" s="29" t="s">
        <v>55</v>
      </c>
      <c r="K1" s="29" t="s">
        <v>56</v>
      </c>
      <c r="L1" s="29" t="s">
        <v>57</v>
      </c>
      <c r="M1" s="29" t="s">
        <v>58</v>
      </c>
      <c r="N1" s="29" t="s">
        <v>59</v>
      </c>
      <c r="O1" s="29" t="s">
        <v>60</v>
      </c>
      <c r="P1" s="29" t="s">
        <v>61</v>
      </c>
      <c r="Q1" s="30" t="s">
        <v>62</v>
      </c>
      <c r="R1" s="30" t="s">
        <v>63</v>
      </c>
      <c r="S1" s="30" t="s">
        <v>64</v>
      </c>
      <c r="T1" s="30" t="s">
        <v>65</v>
      </c>
      <c r="U1" s="30" t="s">
        <v>98</v>
      </c>
      <c r="V1" s="30" t="s">
        <v>99</v>
      </c>
      <c r="W1" s="30" t="s">
        <v>100</v>
      </c>
      <c r="X1" s="30" t="s">
        <v>101</v>
      </c>
      <c r="Y1" s="29" t="s">
        <v>102</v>
      </c>
      <c r="Z1" s="29" t="s">
        <v>103</v>
      </c>
      <c r="AA1" s="29" t="s">
        <v>105</v>
      </c>
      <c r="AB1" s="29" t="s">
        <v>106</v>
      </c>
      <c r="AC1" s="29"/>
      <c r="AD1" s="29"/>
      <c r="AE1" s="29" t="s">
        <v>75</v>
      </c>
      <c r="AF1" s="29" t="s">
        <v>47</v>
      </c>
      <c r="AG1" s="29" t="s">
        <v>48</v>
      </c>
      <c r="AH1" s="29" t="s">
        <v>49</v>
      </c>
      <c r="AI1" s="29" t="s">
        <v>50</v>
      </c>
      <c r="AJ1" s="29" t="s">
        <v>51</v>
      </c>
      <c r="AK1" s="29" t="s">
        <v>52</v>
      </c>
      <c r="AL1" s="30" t="s">
        <v>53</v>
      </c>
      <c r="AM1" s="30" t="s">
        <v>54</v>
      </c>
      <c r="AN1" s="29" t="s">
        <v>55</v>
      </c>
      <c r="AO1" s="29" t="s">
        <v>56</v>
      </c>
      <c r="AP1" s="29" t="s">
        <v>57</v>
      </c>
      <c r="AQ1" s="29" t="s">
        <v>58</v>
      </c>
      <c r="AR1" s="29" t="s">
        <v>59</v>
      </c>
      <c r="AS1" s="29" t="s">
        <v>60</v>
      </c>
      <c r="AT1" s="29" t="s">
        <v>61</v>
      </c>
      <c r="AU1" s="30" t="s">
        <v>62</v>
      </c>
      <c r="AV1" s="30" t="s">
        <v>63</v>
      </c>
      <c r="AW1" s="30" t="s">
        <v>64</v>
      </c>
      <c r="AX1" s="30" t="s">
        <v>65</v>
      </c>
      <c r="AY1" s="30" t="s">
        <v>98</v>
      </c>
      <c r="AZ1" s="30" t="s">
        <v>99</v>
      </c>
      <c r="BA1" s="30" t="s">
        <v>100</v>
      </c>
      <c r="BB1" s="30" t="s">
        <v>101</v>
      </c>
      <c r="BC1" s="29" t="s">
        <v>102</v>
      </c>
      <c r="BD1" s="29" t="s">
        <v>103</v>
      </c>
      <c r="BE1" s="29" t="s">
        <v>105</v>
      </c>
      <c r="BF1" s="29" t="s">
        <v>106</v>
      </c>
      <c r="BG1" s="29"/>
      <c r="BH1" s="29"/>
      <c r="BI1" s="29" t="s">
        <v>76</v>
      </c>
      <c r="BJ1" s="29" t="s">
        <v>47</v>
      </c>
      <c r="BK1" s="29" t="s">
        <v>48</v>
      </c>
      <c r="BL1" s="29" t="s">
        <v>49</v>
      </c>
      <c r="BM1" s="29" t="s">
        <v>50</v>
      </c>
      <c r="BN1" s="29" t="s">
        <v>51</v>
      </c>
      <c r="BO1" s="29" t="s">
        <v>52</v>
      </c>
      <c r="BP1" s="30" t="s">
        <v>53</v>
      </c>
      <c r="BQ1" s="30" t="s">
        <v>54</v>
      </c>
      <c r="BR1" s="29" t="s">
        <v>55</v>
      </c>
      <c r="BS1" s="29" t="s">
        <v>56</v>
      </c>
      <c r="BT1" s="29" t="s">
        <v>57</v>
      </c>
      <c r="BU1" s="29" t="s">
        <v>58</v>
      </c>
      <c r="BV1" s="29" t="s">
        <v>59</v>
      </c>
      <c r="BW1" s="29" t="s">
        <v>60</v>
      </c>
      <c r="BX1" s="29" t="s">
        <v>61</v>
      </c>
      <c r="BY1" s="30" t="s">
        <v>62</v>
      </c>
      <c r="BZ1" s="30" t="s">
        <v>63</v>
      </c>
      <c r="CA1" s="30" t="s">
        <v>64</v>
      </c>
      <c r="CB1" s="30" t="s">
        <v>65</v>
      </c>
      <c r="CC1" s="30" t="s">
        <v>98</v>
      </c>
      <c r="CD1" s="30" t="s">
        <v>99</v>
      </c>
      <c r="CE1" s="30" t="s">
        <v>100</v>
      </c>
      <c r="CF1" s="30" t="s">
        <v>101</v>
      </c>
      <c r="CG1" s="30" t="s">
        <v>102</v>
      </c>
      <c r="CH1" s="30" t="s">
        <v>103</v>
      </c>
      <c r="CI1" s="29" t="s">
        <v>105</v>
      </c>
      <c r="CJ1" s="29" t="s">
        <v>106</v>
      </c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  <c r="DT1" s="30"/>
      <c r="DU1" s="30"/>
      <c r="DV1" s="30"/>
      <c r="DW1" s="30"/>
      <c r="DX1" s="30"/>
      <c r="DY1" s="30"/>
      <c r="DZ1" s="30"/>
      <c r="EA1" s="30"/>
      <c r="EB1" s="30"/>
      <c r="EC1" s="30"/>
      <c r="ED1" s="30"/>
      <c r="EE1" s="30"/>
      <c r="EF1" s="30"/>
      <c r="EG1" s="30"/>
      <c r="EH1" s="30"/>
      <c r="EI1" s="30"/>
      <c r="EJ1" s="30"/>
      <c r="EK1" s="30"/>
      <c r="EL1" s="30"/>
      <c r="EM1" s="30"/>
      <c r="EN1" s="30"/>
      <c r="EO1" s="30"/>
      <c r="EP1" s="30"/>
      <c r="EQ1" s="30"/>
      <c r="ER1" s="30"/>
      <c r="ES1" s="30"/>
      <c r="ET1" s="30"/>
      <c r="EU1" s="30"/>
      <c r="EV1" s="30"/>
      <c r="EW1" s="30"/>
      <c r="EX1" s="30"/>
      <c r="EY1" s="30"/>
      <c r="EZ1" s="30"/>
      <c r="FA1" s="30"/>
      <c r="FB1" s="30"/>
      <c r="FC1" s="30"/>
      <c r="FD1" s="30"/>
      <c r="FE1" s="30"/>
      <c r="FF1" s="30"/>
      <c r="FG1" s="30"/>
      <c r="FH1" s="30"/>
      <c r="FI1" s="30"/>
      <c r="FJ1" s="30"/>
      <c r="FK1" s="30"/>
      <c r="FL1" s="30"/>
      <c r="FM1" s="30"/>
      <c r="FN1" s="30"/>
      <c r="FO1" s="30"/>
      <c r="FP1" s="30"/>
      <c r="FQ1" s="30"/>
      <c r="FR1" s="30"/>
      <c r="FS1" s="30"/>
      <c r="FT1" s="30"/>
      <c r="FU1" s="30"/>
      <c r="FV1" s="30"/>
      <c r="FW1" s="30"/>
      <c r="FX1" s="30"/>
      <c r="FY1" s="30"/>
      <c r="FZ1" s="30"/>
      <c r="GA1" s="30"/>
      <c r="GB1" s="30"/>
      <c r="GC1" s="30"/>
      <c r="GD1" s="30"/>
      <c r="GE1" s="30"/>
      <c r="GF1" s="30"/>
      <c r="GG1" s="30"/>
      <c r="GH1" s="30"/>
      <c r="GI1" s="30"/>
      <c r="GJ1" s="30"/>
      <c r="GK1" s="30"/>
      <c r="GL1" s="30"/>
      <c r="GM1" s="30"/>
      <c r="GN1" s="30"/>
      <c r="GO1" s="30"/>
      <c r="GP1" s="30"/>
      <c r="GQ1" s="30"/>
      <c r="GR1" s="30"/>
      <c r="GS1" s="30"/>
      <c r="GT1" s="30"/>
      <c r="GU1" s="30"/>
      <c r="GV1" s="30"/>
      <c r="GW1" s="30"/>
      <c r="GX1" s="30"/>
      <c r="GY1" s="30"/>
      <c r="GZ1" s="30"/>
      <c r="HA1" s="30"/>
      <c r="HB1" s="30"/>
      <c r="HC1" s="30"/>
      <c r="HD1" s="30"/>
      <c r="HE1" s="30"/>
      <c r="HF1" s="30"/>
      <c r="HG1" s="30"/>
      <c r="HH1" s="30"/>
      <c r="HI1" s="30"/>
      <c r="HJ1" s="30"/>
      <c r="HK1" s="30"/>
      <c r="HL1" s="30"/>
      <c r="HM1" s="30"/>
      <c r="HN1" s="30"/>
      <c r="HO1" s="30"/>
      <c r="HP1" s="30"/>
      <c r="HQ1" s="30"/>
      <c r="HR1" s="30"/>
      <c r="HS1" s="30"/>
      <c r="HT1" s="30"/>
      <c r="HU1" s="30"/>
      <c r="HV1" s="30"/>
      <c r="HW1" s="30"/>
      <c r="HX1" s="30"/>
      <c r="HY1" s="30"/>
      <c r="HZ1" s="30"/>
      <c r="IA1" s="30"/>
      <c r="IB1" s="30"/>
      <c r="IC1" s="30"/>
      <c r="ID1" s="30"/>
      <c r="IE1" s="30"/>
      <c r="IF1" s="30"/>
      <c r="IG1" s="30"/>
      <c r="IH1" s="30"/>
      <c r="II1" s="30"/>
      <c r="IJ1" s="30"/>
      <c r="IK1" s="30"/>
      <c r="IL1" s="30"/>
      <c r="IM1" s="30"/>
      <c r="IN1" s="30"/>
      <c r="IO1" s="30"/>
      <c r="IP1" s="30"/>
      <c r="IQ1" s="30"/>
      <c r="IR1" s="30"/>
      <c r="IS1" s="30"/>
      <c r="IT1" s="30"/>
      <c r="IU1" s="30"/>
      <c r="IV1" s="30"/>
      <c r="IW1" s="30"/>
      <c r="IX1" s="30"/>
      <c r="IY1" s="30"/>
      <c r="IZ1" s="30"/>
      <c r="JA1" s="30"/>
      <c r="JB1" s="30"/>
      <c r="JC1" s="30"/>
      <c r="JD1" s="30"/>
      <c r="JE1" s="30"/>
      <c r="JF1" s="30"/>
      <c r="JG1" s="30"/>
      <c r="JH1" s="30"/>
      <c r="JI1" s="30"/>
      <c r="JJ1" s="30"/>
      <c r="JK1" s="30"/>
      <c r="JL1" s="30"/>
      <c r="JM1" s="30"/>
      <c r="JN1" s="30"/>
      <c r="JO1" s="30"/>
      <c r="JP1" s="30"/>
      <c r="JQ1" s="30"/>
      <c r="JR1" s="30"/>
      <c r="JS1" s="30"/>
      <c r="JT1" s="30"/>
      <c r="JU1" s="30"/>
      <c r="JV1" s="30"/>
      <c r="JW1" s="30"/>
      <c r="JX1" s="30"/>
      <c r="JY1" s="30"/>
      <c r="JZ1" s="30"/>
      <c r="KA1" s="30"/>
      <c r="KB1" s="30"/>
      <c r="KC1" s="30"/>
      <c r="KD1" s="30"/>
      <c r="KE1" s="30"/>
      <c r="KF1" s="30"/>
      <c r="KG1" s="30"/>
      <c r="KH1" s="30"/>
      <c r="KI1" s="30"/>
      <c r="KJ1" s="30"/>
      <c r="KK1" s="30"/>
      <c r="KL1" s="30"/>
      <c r="KM1" s="30"/>
      <c r="KN1" s="30"/>
      <c r="KO1" s="30"/>
      <c r="KP1" s="30"/>
      <c r="KQ1" s="30"/>
      <c r="KR1" s="30"/>
      <c r="KS1" s="30"/>
      <c r="KT1" s="30"/>
      <c r="KU1" s="30"/>
      <c r="KV1" s="30"/>
      <c r="KW1" s="30"/>
      <c r="KX1" s="30"/>
      <c r="KY1" s="30"/>
      <c r="KZ1" s="30"/>
      <c r="LA1" s="30"/>
      <c r="LB1" s="30"/>
      <c r="LC1" s="30"/>
      <c r="LD1" s="30"/>
      <c r="LE1" s="30"/>
      <c r="LF1" s="30"/>
      <c r="LG1" s="30"/>
      <c r="LH1" s="30"/>
      <c r="LI1" s="30"/>
      <c r="LJ1" s="30"/>
      <c r="LK1" s="30"/>
      <c r="LL1" s="30"/>
      <c r="LM1" s="30"/>
      <c r="LN1" s="30"/>
      <c r="LO1" s="30"/>
      <c r="LP1" s="30"/>
      <c r="LQ1" s="30"/>
      <c r="LR1" s="30"/>
      <c r="LS1" s="30"/>
      <c r="LT1" s="30"/>
      <c r="LU1" s="30"/>
      <c r="LV1" s="30"/>
      <c r="LW1" s="30"/>
      <c r="LX1" s="30"/>
      <c r="LY1" s="30"/>
      <c r="LZ1" s="30"/>
      <c r="MA1" s="30"/>
      <c r="MB1" s="30"/>
      <c r="MC1" s="30"/>
      <c r="MD1" s="30"/>
      <c r="ME1" s="30"/>
      <c r="MF1" s="30"/>
      <c r="MG1" s="30"/>
      <c r="MH1" s="30"/>
      <c r="MI1" s="30"/>
      <c r="MJ1" s="30"/>
      <c r="MK1" s="30"/>
      <c r="ML1" s="30"/>
      <c r="MM1" s="30"/>
      <c r="MN1" s="30"/>
      <c r="MO1" s="30"/>
      <c r="MP1" s="30"/>
      <c r="MQ1" s="30"/>
      <c r="MR1" s="30"/>
      <c r="MS1" s="30"/>
      <c r="MT1" s="30"/>
      <c r="MU1" s="30"/>
      <c r="MV1" s="30"/>
      <c r="MW1" s="30"/>
      <c r="MX1" s="30"/>
      <c r="MY1" s="30"/>
      <c r="MZ1" s="30"/>
      <c r="NA1" s="30"/>
      <c r="NB1" s="30"/>
      <c r="NC1" s="30"/>
      <c r="ND1" s="30"/>
      <c r="NE1" s="30"/>
      <c r="NF1" s="30"/>
      <c r="NG1" s="30"/>
      <c r="NH1" s="30"/>
      <c r="NI1" s="30"/>
      <c r="NJ1" s="30"/>
      <c r="NK1" s="30"/>
      <c r="NL1" s="30"/>
      <c r="NM1" s="30"/>
      <c r="NN1" s="30"/>
      <c r="NO1" s="30"/>
      <c r="NP1" s="30"/>
      <c r="NQ1" s="30"/>
      <c r="NR1" s="30"/>
      <c r="NS1" s="30"/>
      <c r="NT1" s="30"/>
      <c r="NU1" s="30"/>
      <c r="NV1" s="30"/>
      <c r="NW1" s="30"/>
      <c r="NX1" s="30"/>
      <c r="NY1" s="30"/>
      <c r="NZ1" s="30"/>
      <c r="OA1" s="30"/>
      <c r="OB1" s="30"/>
      <c r="OC1" s="30"/>
      <c r="OD1" s="30"/>
      <c r="OE1" s="30"/>
      <c r="OF1" s="30"/>
      <c r="OG1" s="30"/>
      <c r="OH1" s="30"/>
      <c r="OI1" s="30"/>
      <c r="OJ1" s="30"/>
      <c r="OK1" s="30"/>
      <c r="OL1" s="30"/>
      <c r="OM1" s="30"/>
      <c r="ON1" s="30"/>
      <c r="OO1" s="30"/>
      <c r="OP1" s="30"/>
      <c r="OQ1" s="30"/>
      <c r="OR1" s="30"/>
      <c r="OS1" s="30"/>
      <c r="OT1" s="30"/>
      <c r="OU1" s="30"/>
      <c r="OV1" s="30"/>
      <c r="OW1" s="30"/>
      <c r="OX1" s="30"/>
      <c r="OY1" s="30"/>
      <c r="OZ1" s="30"/>
      <c r="PA1" s="30"/>
      <c r="PB1" s="30"/>
      <c r="PC1" s="30"/>
      <c r="PD1" s="30"/>
      <c r="PE1" s="30"/>
      <c r="PF1" s="30"/>
      <c r="PG1" s="30"/>
      <c r="PH1" s="30"/>
      <c r="PI1" s="30"/>
      <c r="PJ1" s="30"/>
      <c r="PK1" s="30"/>
      <c r="PL1" s="30"/>
      <c r="PM1" s="30"/>
      <c r="PN1" s="30"/>
      <c r="PO1" s="30"/>
      <c r="PP1" s="30"/>
      <c r="PQ1" s="30"/>
      <c r="PR1" s="30"/>
      <c r="PS1" s="30"/>
      <c r="PT1" s="30"/>
      <c r="PU1" s="30"/>
      <c r="PV1" s="30"/>
      <c r="PW1" s="30"/>
      <c r="PX1" s="30"/>
      <c r="PY1" s="30"/>
      <c r="PZ1" s="30"/>
      <c r="QA1" s="30"/>
      <c r="QB1" s="30"/>
      <c r="QC1" s="30"/>
      <c r="QD1" s="30"/>
      <c r="QE1" s="30"/>
      <c r="QF1" s="30"/>
      <c r="QG1" s="30"/>
      <c r="QH1" s="30"/>
      <c r="QI1" s="30"/>
      <c r="QJ1" s="30"/>
      <c r="QK1" s="30"/>
      <c r="QL1" s="30"/>
      <c r="QM1" s="30"/>
      <c r="QN1" s="30"/>
      <c r="QO1" s="30"/>
      <c r="QP1" s="30"/>
      <c r="QQ1" s="30"/>
      <c r="QR1" s="30"/>
      <c r="QS1" s="30"/>
      <c r="QT1" s="30"/>
      <c r="QU1" s="30"/>
      <c r="QV1" s="30"/>
      <c r="QW1" s="30"/>
      <c r="QX1" s="30"/>
      <c r="QY1" s="30"/>
      <c r="QZ1" s="30"/>
      <c r="RA1" s="30"/>
      <c r="RB1" s="30"/>
      <c r="RC1" s="30"/>
      <c r="RD1" s="30"/>
      <c r="RE1" s="30"/>
      <c r="RF1" s="30"/>
      <c r="RG1" s="30"/>
      <c r="RH1" s="30"/>
      <c r="RI1" s="30"/>
      <c r="RJ1" s="30"/>
      <c r="RK1" s="30"/>
      <c r="RL1" s="30"/>
      <c r="RM1" s="30"/>
      <c r="RN1" s="30"/>
      <c r="RO1" s="30"/>
      <c r="RP1" s="30"/>
      <c r="RQ1" s="30"/>
      <c r="RR1" s="30"/>
      <c r="RS1" s="30"/>
      <c r="RT1" s="30"/>
      <c r="RU1" s="30"/>
      <c r="RV1" s="30"/>
      <c r="RW1" s="30"/>
      <c r="RX1" s="30"/>
      <c r="RY1" s="30"/>
      <c r="RZ1" s="30"/>
    </row>
    <row r="2" spans="1:494" s="2" customFormat="1" x14ac:dyDescent="0.2">
      <c r="A2" s="3" t="s">
        <v>66</v>
      </c>
      <c r="B2" s="38">
        <v>0.6527545909849749</v>
      </c>
      <c r="C2" s="38">
        <v>0.34724540901502504</v>
      </c>
      <c r="D2" s="3">
        <v>1819.7</v>
      </c>
      <c r="E2" s="3">
        <v>22</v>
      </c>
      <c r="F2" s="39">
        <v>3.3</v>
      </c>
      <c r="G2" s="39">
        <v>2.9</v>
      </c>
      <c r="H2" s="3">
        <v>549</v>
      </c>
      <c r="I2" s="3">
        <v>49</v>
      </c>
      <c r="J2" s="3">
        <v>0</v>
      </c>
      <c r="K2" s="3">
        <v>58</v>
      </c>
      <c r="L2" s="40">
        <v>8.193979933110368E-2</v>
      </c>
      <c r="M2" s="40">
        <v>0.25192802056555269</v>
      </c>
      <c r="N2" s="3">
        <v>291</v>
      </c>
      <c r="O2" s="3">
        <v>98</v>
      </c>
      <c r="P2" s="3">
        <v>391</v>
      </c>
      <c r="Q2" s="3">
        <v>0</v>
      </c>
      <c r="R2" s="3">
        <v>0</v>
      </c>
      <c r="S2" s="3">
        <v>0</v>
      </c>
      <c r="T2" s="3">
        <v>0</v>
      </c>
      <c r="U2" s="40">
        <v>0</v>
      </c>
      <c r="V2" s="40">
        <v>0</v>
      </c>
      <c r="W2" s="40">
        <v>0</v>
      </c>
      <c r="X2" s="40">
        <v>0</v>
      </c>
      <c r="Y2" s="40">
        <v>0</v>
      </c>
      <c r="Z2" s="3">
        <v>1</v>
      </c>
      <c r="AA2" s="3">
        <v>1</v>
      </c>
      <c r="AB2" s="3">
        <v>0</v>
      </c>
      <c r="AC2" s="3"/>
      <c r="AD2" s="3"/>
      <c r="AE2" s="3" t="s">
        <v>66</v>
      </c>
      <c r="AF2" s="38">
        <v>0.35392320534223703</v>
      </c>
      <c r="AG2" s="38">
        <v>0.64607679465776291</v>
      </c>
      <c r="AH2" s="3">
        <v>1194.0999999999999</v>
      </c>
      <c r="AI2" s="3">
        <v>26</v>
      </c>
      <c r="AJ2" s="39">
        <v>1.9</v>
      </c>
      <c r="AK2" s="39">
        <v>2.2999999999999998</v>
      </c>
      <c r="AL2" s="3">
        <v>598</v>
      </c>
      <c r="AM2" s="3">
        <v>0</v>
      </c>
      <c r="AN2" s="3">
        <v>0</v>
      </c>
      <c r="AO2" s="41">
        <v>100</v>
      </c>
      <c r="AP2" s="40">
        <v>0</v>
      </c>
      <c r="AQ2" s="40">
        <v>4.7169811320754715E-3</v>
      </c>
      <c r="AR2" s="3">
        <v>211</v>
      </c>
      <c r="AS2" s="3">
        <v>1</v>
      </c>
      <c r="AT2" s="3">
        <v>212</v>
      </c>
      <c r="AU2" s="3">
        <v>4</v>
      </c>
      <c r="AV2" s="3">
        <v>0</v>
      </c>
      <c r="AW2" s="3">
        <v>4</v>
      </c>
      <c r="AX2" s="3">
        <v>0</v>
      </c>
      <c r="AY2" s="40">
        <v>1.8957345971563982E-2</v>
      </c>
      <c r="AZ2" s="40">
        <v>0</v>
      </c>
      <c r="BA2" s="40">
        <v>1.8957345971563982E-2</v>
      </c>
      <c r="BB2" s="40">
        <v>0</v>
      </c>
      <c r="BC2" s="40">
        <v>1.8867924528301886E-2</v>
      </c>
      <c r="BD2" s="3">
        <v>2</v>
      </c>
      <c r="BE2" s="3">
        <v>1</v>
      </c>
      <c r="BF2" s="3">
        <v>1</v>
      </c>
      <c r="BG2" s="3"/>
      <c r="BH2" s="3"/>
      <c r="BI2" s="3" t="s">
        <v>66</v>
      </c>
      <c r="BJ2" s="38">
        <v>0.5604770017035775</v>
      </c>
      <c r="BK2" s="38">
        <v>0.4395229982964225</v>
      </c>
      <c r="BL2" s="3">
        <v>1295.2</v>
      </c>
      <c r="BM2" s="3">
        <v>14</v>
      </c>
      <c r="BN2" s="39">
        <v>2.4</v>
      </c>
      <c r="BO2" s="39">
        <v>2.1</v>
      </c>
      <c r="BP2" s="3">
        <v>528</v>
      </c>
      <c r="BQ2" s="3">
        <v>70</v>
      </c>
      <c r="BR2" s="3">
        <v>0</v>
      </c>
      <c r="BS2" s="3">
        <v>30</v>
      </c>
      <c r="BT2" s="40">
        <v>0.11705685618729098</v>
      </c>
      <c r="BU2" s="40">
        <v>0.2073170731707317</v>
      </c>
      <c r="BV2" s="3">
        <v>260</v>
      </c>
      <c r="BW2" s="3">
        <v>68</v>
      </c>
      <c r="BX2" s="3">
        <v>329</v>
      </c>
      <c r="BY2" s="3">
        <v>9</v>
      </c>
      <c r="BZ2" s="3">
        <v>0</v>
      </c>
      <c r="CA2" s="3">
        <v>0</v>
      </c>
      <c r="CB2" s="3">
        <v>0</v>
      </c>
      <c r="CC2" s="40">
        <v>3.4615384615384617E-2</v>
      </c>
      <c r="CD2" s="40">
        <v>0</v>
      </c>
      <c r="CE2" s="40">
        <v>0</v>
      </c>
      <c r="CF2" s="40">
        <v>0</v>
      </c>
      <c r="CG2" s="40">
        <v>2.7439024390243903E-2</v>
      </c>
      <c r="CH2" s="3">
        <v>1</v>
      </c>
      <c r="CI2" s="3">
        <v>0</v>
      </c>
      <c r="CJ2" s="3">
        <v>1</v>
      </c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</row>
    <row r="3" spans="1:494" s="2" customFormat="1" x14ac:dyDescent="0.2">
      <c r="A3" s="3" t="s">
        <v>67</v>
      </c>
      <c r="B3" s="38">
        <v>0.60934891485809684</v>
      </c>
      <c r="C3" s="38">
        <v>0.39065108514190316</v>
      </c>
      <c r="D3" s="3">
        <v>937.5</v>
      </c>
      <c r="E3" s="3">
        <v>11</v>
      </c>
      <c r="F3" s="39">
        <v>1.5</v>
      </c>
      <c r="G3" s="39">
        <v>1.6</v>
      </c>
      <c r="H3" s="3">
        <v>553</v>
      </c>
      <c r="I3" s="3">
        <v>45</v>
      </c>
      <c r="J3" s="3">
        <v>0</v>
      </c>
      <c r="K3" s="41">
        <v>6</v>
      </c>
      <c r="L3" s="40">
        <v>7.5250836120401343E-2</v>
      </c>
      <c r="M3" s="40">
        <v>0.18005540166204986</v>
      </c>
      <c r="N3" s="3">
        <v>296</v>
      </c>
      <c r="O3" s="3">
        <v>65</v>
      </c>
      <c r="P3" s="3">
        <v>365</v>
      </c>
      <c r="Q3" s="3">
        <v>21</v>
      </c>
      <c r="R3" s="3">
        <v>1</v>
      </c>
      <c r="S3" s="3">
        <v>21</v>
      </c>
      <c r="T3" s="3">
        <v>1</v>
      </c>
      <c r="U3" s="40">
        <v>7.0945945945945943E-2</v>
      </c>
      <c r="V3" s="40">
        <v>1.5384615384615385E-2</v>
      </c>
      <c r="W3" s="40">
        <v>7.0945945945945943E-2</v>
      </c>
      <c r="X3" s="40">
        <v>1.5384615384615385E-2</v>
      </c>
      <c r="Y3" s="40">
        <v>6.0941828254847646E-2</v>
      </c>
      <c r="Z3" s="3">
        <v>1</v>
      </c>
      <c r="AA3" s="3">
        <v>1</v>
      </c>
      <c r="AB3" s="3">
        <v>0</v>
      </c>
      <c r="AC3" s="3"/>
      <c r="AD3" s="3"/>
      <c r="AE3" s="3" t="s">
        <v>67</v>
      </c>
      <c r="AF3" s="38">
        <v>0.77295492487479134</v>
      </c>
      <c r="AG3" s="38">
        <v>0.22704507512520869</v>
      </c>
      <c r="AH3" s="3">
        <v>1034.7</v>
      </c>
      <c r="AI3" s="3">
        <v>10</v>
      </c>
      <c r="AJ3" s="39">
        <v>1.7</v>
      </c>
      <c r="AK3" s="39">
        <v>1.7</v>
      </c>
      <c r="AL3" s="3">
        <v>523</v>
      </c>
      <c r="AM3" s="3">
        <v>75</v>
      </c>
      <c r="AN3" s="3">
        <v>0</v>
      </c>
      <c r="AO3" s="41">
        <v>78</v>
      </c>
      <c r="AP3" s="40">
        <v>0.1254180602006689</v>
      </c>
      <c r="AQ3" s="40">
        <v>0.23043478260869565</v>
      </c>
      <c r="AR3" s="3">
        <v>354</v>
      </c>
      <c r="AS3" s="3">
        <v>106</v>
      </c>
      <c r="AT3" s="3">
        <v>463</v>
      </c>
      <c r="AU3" s="3">
        <v>1</v>
      </c>
      <c r="AV3" s="3">
        <v>5</v>
      </c>
      <c r="AW3" s="3">
        <v>1</v>
      </c>
      <c r="AX3" s="3">
        <v>3</v>
      </c>
      <c r="AY3" s="40">
        <v>2.8248587570621469E-3</v>
      </c>
      <c r="AZ3" s="40">
        <v>4.716981132075472E-2</v>
      </c>
      <c r="BA3" s="40">
        <v>2.8248587570621469E-3</v>
      </c>
      <c r="BB3" s="40">
        <v>2.8301886792452831E-2</v>
      </c>
      <c r="BC3" s="40">
        <v>1.3043478260869565E-2</v>
      </c>
      <c r="BD3" s="3">
        <v>0</v>
      </c>
      <c r="BE3" s="3">
        <v>0</v>
      </c>
      <c r="BF3" s="3">
        <v>0</v>
      </c>
      <c r="BG3" s="3"/>
      <c r="BH3" s="3"/>
      <c r="BI3" s="3" t="s">
        <v>67</v>
      </c>
      <c r="BJ3" s="38">
        <v>0.67779632721201999</v>
      </c>
      <c r="BK3" s="38">
        <v>0.32220367278797996</v>
      </c>
      <c r="BL3" s="3">
        <v>1358</v>
      </c>
      <c r="BM3" s="3">
        <v>18</v>
      </c>
      <c r="BN3" s="39">
        <v>2.2999999999999998</v>
      </c>
      <c r="BO3" s="39">
        <v>2.2999999999999998</v>
      </c>
      <c r="BP3" s="3">
        <v>591</v>
      </c>
      <c r="BQ3" s="3">
        <v>7</v>
      </c>
      <c r="BR3" s="3">
        <v>0</v>
      </c>
      <c r="BS3" s="3">
        <v>81</v>
      </c>
      <c r="BT3" s="40">
        <v>1.1705685618729096E-2</v>
      </c>
      <c r="BU3" s="40">
        <v>8.2500000000000004E-2</v>
      </c>
      <c r="BV3" s="3">
        <v>367</v>
      </c>
      <c r="BW3" s="3">
        <v>33</v>
      </c>
      <c r="BX3" s="3">
        <v>406</v>
      </c>
      <c r="BY3" s="3">
        <v>0</v>
      </c>
      <c r="BZ3" s="3">
        <v>0</v>
      </c>
      <c r="CA3" s="3">
        <v>0</v>
      </c>
      <c r="CB3" s="3">
        <v>0</v>
      </c>
      <c r="CC3" s="40">
        <v>0</v>
      </c>
      <c r="CD3" s="40">
        <v>0</v>
      </c>
      <c r="CE3" s="40">
        <v>0</v>
      </c>
      <c r="CF3" s="40">
        <v>0</v>
      </c>
      <c r="CG3" s="40">
        <v>0</v>
      </c>
      <c r="CH3" s="3">
        <v>0</v>
      </c>
      <c r="CI3" s="3">
        <v>0</v>
      </c>
      <c r="CJ3" s="3">
        <v>0</v>
      </c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</row>
    <row r="4" spans="1:494" s="2" customFormat="1" x14ac:dyDescent="0.2">
      <c r="A4" s="3" t="s">
        <v>68</v>
      </c>
      <c r="B4" s="38">
        <v>0.51085141903171949</v>
      </c>
      <c r="C4" s="38">
        <v>0.48914858096828046</v>
      </c>
      <c r="D4" s="3">
        <v>1854.8</v>
      </c>
      <c r="E4" s="3">
        <v>25</v>
      </c>
      <c r="F4" s="39">
        <v>3.3</v>
      </c>
      <c r="G4" s="39">
        <v>2.9</v>
      </c>
      <c r="H4" s="3">
        <v>536</v>
      </c>
      <c r="I4" s="3">
        <v>62</v>
      </c>
      <c r="J4" s="3">
        <v>3</v>
      </c>
      <c r="K4" s="3">
        <v>20</v>
      </c>
      <c r="L4" s="40">
        <v>0.10367892976588629</v>
      </c>
      <c r="M4" s="40">
        <v>0.26013513513513514</v>
      </c>
      <c r="N4" s="3">
        <v>219</v>
      </c>
      <c r="O4" s="3">
        <v>77</v>
      </c>
      <c r="P4" s="3">
        <v>306</v>
      </c>
      <c r="Q4" s="3">
        <v>0</v>
      </c>
      <c r="R4" s="3">
        <v>0</v>
      </c>
      <c r="S4" s="3">
        <v>0</v>
      </c>
      <c r="T4" s="3">
        <v>0</v>
      </c>
      <c r="U4" s="40">
        <v>0</v>
      </c>
      <c r="V4" s="40">
        <v>0</v>
      </c>
      <c r="W4" s="40">
        <v>0</v>
      </c>
      <c r="X4" s="40">
        <v>0</v>
      </c>
      <c r="Y4" s="40">
        <v>0</v>
      </c>
      <c r="Z4" s="3">
        <v>6</v>
      </c>
      <c r="AA4" s="3">
        <v>5</v>
      </c>
      <c r="AB4" s="3">
        <v>1</v>
      </c>
      <c r="AC4" s="3"/>
      <c r="AD4" s="3"/>
      <c r="AE4" s="3" t="s">
        <v>68</v>
      </c>
      <c r="AF4" s="38">
        <v>0.56260434056761266</v>
      </c>
      <c r="AG4" s="38">
        <v>0.43739565943238728</v>
      </c>
      <c r="AH4" s="3">
        <v>1168.4000000000001</v>
      </c>
      <c r="AI4" s="3">
        <v>13</v>
      </c>
      <c r="AJ4" s="39">
        <v>2</v>
      </c>
      <c r="AK4" s="39">
        <v>1.9</v>
      </c>
      <c r="AL4" s="3">
        <v>559</v>
      </c>
      <c r="AM4" s="3">
        <v>39</v>
      </c>
      <c r="AN4" s="3">
        <v>0</v>
      </c>
      <c r="AO4" s="3">
        <v>19</v>
      </c>
      <c r="AP4" s="40">
        <v>6.5217391304347824E-2</v>
      </c>
      <c r="AQ4" s="40">
        <v>0.19940476190476192</v>
      </c>
      <c r="AR4" s="3">
        <v>269</v>
      </c>
      <c r="AS4" s="3">
        <v>67</v>
      </c>
      <c r="AT4" s="3">
        <v>337</v>
      </c>
      <c r="AU4" s="3">
        <v>6</v>
      </c>
      <c r="AV4" s="3">
        <v>1</v>
      </c>
      <c r="AW4" s="3">
        <v>4</v>
      </c>
      <c r="AX4" s="3">
        <v>0</v>
      </c>
      <c r="AY4" s="40">
        <v>2.2304832713754646E-2</v>
      </c>
      <c r="AZ4" s="40">
        <v>1.4925373134328358E-2</v>
      </c>
      <c r="BA4" s="40">
        <v>1.4869888475836431E-2</v>
      </c>
      <c r="BB4" s="40">
        <v>0</v>
      </c>
      <c r="BC4" s="40">
        <v>2.0833333333333332E-2</v>
      </c>
      <c r="BD4" s="3">
        <v>0</v>
      </c>
      <c r="BE4" s="3">
        <v>0</v>
      </c>
      <c r="BF4" s="3">
        <v>0</v>
      </c>
      <c r="BG4" s="3"/>
      <c r="BH4" s="3"/>
      <c r="BI4" s="3" t="s">
        <v>68</v>
      </c>
      <c r="BJ4" s="38">
        <v>0.56610800744878953</v>
      </c>
      <c r="BK4" s="38">
        <v>0.43389199255121041</v>
      </c>
      <c r="BL4" s="3">
        <v>672.90000000000009</v>
      </c>
      <c r="BM4" s="3">
        <v>15</v>
      </c>
      <c r="BN4" s="39">
        <v>1.5</v>
      </c>
      <c r="BO4" s="39">
        <v>1.1000000000000001</v>
      </c>
      <c r="BP4" s="3">
        <v>535</v>
      </c>
      <c r="BQ4" s="3">
        <v>63</v>
      </c>
      <c r="BR4" s="3">
        <v>0</v>
      </c>
      <c r="BS4" s="41">
        <v>14</v>
      </c>
      <c r="BT4" s="40">
        <v>0.10535117056856187</v>
      </c>
      <c r="BU4" s="40">
        <v>0</v>
      </c>
      <c r="BV4" s="3">
        <v>298</v>
      </c>
      <c r="BW4" s="3">
        <v>0</v>
      </c>
      <c r="BX4" s="3">
        <v>304</v>
      </c>
      <c r="BY4" s="3">
        <v>41</v>
      </c>
      <c r="BZ4" s="3">
        <v>0</v>
      </c>
      <c r="CA4" s="3">
        <v>0</v>
      </c>
      <c r="CB4" s="3">
        <v>0</v>
      </c>
      <c r="CC4" s="40">
        <v>0.13758389261744966</v>
      </c>
      <c r="CD4" s="40">
        <v>0</v>
      </c>
      <c r="CE4" s="40">
        <v>0</v>
      </c>
      <c r="CF4" s="40">
        <v>0</v>
      </c>
      <c r="CG4" s="40">
        <v>0.13758389261744966</v>
      </c>
      <c r="CH4" s="3">
        <v>1</v>
      </c>
      <c r="CI4" s="3">
        <v>1</v>
      </c>
      <c r="CJ4" s="3">
        <v>0</v>
      </c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</row>
    <row r="5" spans="1:494" s="2" customFormat="1" x14ac:dyDescent="0.2">
      <c r="A5" s="3" t="s">
        <v>69</v>
      </c>
      <c r="B5" s="38">
        <v>9.1819699499165269E-2</v>
      </c>
      <c r="C5" s="38">
        <v>0.90818030050083476</v>
      </c>
      <c r="D5" s="3">
        <v>909.8</v>
      </c>
      <c r="E5" s="3">
        <v>6</v>
      </c>
      <c r="F5" s="39">
        <v>1.4</v>
      </c>
      <c r="G5" s="39">
        <v>2.8</v>
      </c>
      <c r="H5" s="3">
        <v>576</v>
      </c>
      <c r="I5" s="3">
        <v>22</v>
      </c>
      <c r="J5" s="3">
        <v>0</v>
      </c>
      <c r="K5" s="41">
        <v>69</v>
      </c>
      <c r="L5" s="40">
        <v>3.678929765886288E-2</v>
      </c>
      <c r="M5" s="40">
        <v>5.4545454545454543E-2</v>
      </c>
      <c r="N5" s="3">
        <v>52</v>
      </c>
      <c r="O5" s="3">
        <v>3</v>
      </c>
      <c r="P5" s="3">
        <v>55</v>
      </c>
      <c r="Q5" s="3">
        <v>1</v>
      </c>
      <c r="R5" s="3">
        <v>0</v>
      </c>
      <c r="S5" s="3">
        <v>1</v>
      </c>
      <c r="T5" s="3">
        <v>0</v>
      </c>
      <c r="U5" s="40">
        <v>1.9230769230769232E-2</v>
      </c>
      <c r="V5" s="40">
        <v>0</v>
      </c>
      <c r="W5" s="40">
        <v>1.9230769230769232E-2</v>
      </c>
      <c r="X5" s="40">
        <v>0</v>
      </c>
      <c r="Y5" s="40">
        <v>1.8181818181818181E-2</v>
      </c>
      <c r="Z5" s="3">
        <v>2</v>
      </c>
      <c r="AA5" s="3">
        <v>0</v>
      </c>
      <c r="AB5" s="3">
        <v>2</v>
      </c>
      <c r="AC5" s="3"/>
      <c r="AD5" s="3"/>
      <c r="AE5" s="3" t="s">
        <v>69</v>
      </c>
      <c r="AF5" s="38">
        <v>0.56928213689482465</v>
      </c>
      <c r="AG5" s="38">
        <v>0.43071786310517529</v>
      </c>
      <c r="AH5" s="3">
        <v>1367.4</v>
      </c>
      <c r="AI5" s="3">
        <v>15</v>
      </c>
      <c r="AJ5" s="39">
        <v>2.8</v>
      </c>
      <c r="AK5" s="39">
        <v>1.9</v>
      </c>
      <c r="AL5" s="3">
        <v>547</v>
      </c>
      <c r="AM5" s="3">
        <v>51</v>
      </c>
      <c r="AN5" s="3">
        <v>0</v>
      </c>
      <c r="AO5" s="41">
        <v>235</v>
      </c>
      <c r="AP5" s="40">
        <v>8.5284280936454848E-2</v>
      </c>
      <c r="AQ5" s="40">
        <v>0.11436950146627566</v>
      </c>
      <c r="AR5" s="3">
        <v>302</v>
      </c>
      <c r="AS5" s="3">
        <v>39</v>
      </c>
      <c r="AT5" s="3">
        <v>341</v>
      </c>
      <c r="AU5" s="3">
        <v>47</v>
      </c>
      <c r="AV5" s="3">
        <v>13</v>
      </c>
      <c r="AW5" s="3">
        <v>47</v>
      </c>
      <c r="AX5" s="3">
        <v>2</v>
      </c>
      <c r="AY5" s="40">
        <v>0.15562913907284767</v>
      </c>
      <c r="AZ5" s="40">
        <v>0.33333333333333331</v>
      </c>
      <c r="BA5" s="40">
        <v>0.15562913907284767</v>
      </c>
      <c r="BB5" s="40">
        <v>5.128205128205128E-2</v>
      </c>
      <c r="BC5" s="40">
        <v>0.17595307917888564</v>
      </c>
      <c r="BD5" s="3">
        <v>0</v>
      </c>
      <c r="BE5" s="3">
        <v>0</v>
      </c>
      <c r="BF5" s="3">
        <v>0</v>
      </c>
      <c r="BG5" s="3"/>
      <c r="BH5" s="3"/>
      <c r="BI5" s="3" t="s">
        <v>69</v>
      </c>
      <c r="BJ5" s="38">
        <v>0.60601001669449084</v>
      </c>
      <c r="BK5" s="38">
        <v>0.39398998330550916</v>
      </c>
      <c r="BL5" s="3">
        <v>3812.1</v>
      </c>
      <c r="BM5" s="3">
        <v>34</v>
      </c>
      <c r="BN5" s="39">
        <v>3.3</v>
      </c>
      <c r="BO5" s="39">
        <v>8.3000000000000007</v>
      </c>
      <c r="BP5" s="3">
        <v>431</v>
      </c>
      <c r="BQ5" s="3">
        <v>167</v>
      </c>
      <c r="BR5" s="3">
        <v>0</v>
      </c>
      <c r="BS5" s="41">
        <v>7</v>
      </c>
      <c r="BT5" s="40">
        <v>0.27926421404682272</v>
      </c>
      <c r="BU5" s="40">
        <v>0.42671009771986973</v>
      </c>
      <c r="BV5" s="3">
        <v>176</v>
      </c>
      <c r="BW5" s="3">
        <v>131</v>
      </c>
      <c r="BX5" s="3">
        <v>363</v>
      </c>
      <c r="BY5" s="3">
        <v>13</v>
      </c>
      <c r="BZ5" s="3">
        <v>0</v>
      </c>
      <c r="CA5" s="3">
        <v>0</v>
      </c>
      <c r="CB5" s="3">
        <v>0</v>
      </c>
      <c r="CC5" s="40">
        <v>7.3863636363636367E-2</v>
      </c>
      <c r="CD5" s="40">
        <v>0</v>
      </c>
      <c r="CE5" s="40">
        <v>0</v>
      </c>
      <c r="CF5" s="40">
        <v>0</v>
      </c>
      <c r="CG5" s="40">
        <v>4.2345276872964167E-2</v>
      </c>
      <c r="CH5" s="3">
        <v>40</v>
      </c>
      <c r="CI5" s="3">
        <v>29</v>
      </c>
      <c r="CJ5" s="3">
        <v>11</v>
      </c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</row>
    <row r="6" spans="1:494" s="2" customFormat="1" x14ac:dyDescent="0.2">
      <c r="A6" s="3" t="s">
        <v>70</v>
      </c>
      <c r="B6" s="38">
        <v>0.10189982728842832</v>
      </c>
      <c r="C6" s="38">
        <v>0.89810017271157172</v>
      </c>
      <c r="D6" s="3">
        <v>1492</v>
      </c>
      <c r="E6" s="3">
        <v>15</v>
      </c>
      <c r="F6" s="39">
        <v>2.6</v>
      </c>
      <c r="G6" s="39">
        <v>2.8</v>
      </c>
      <c r="H6" s="3">
        <v>525</v>
      </c>
      <c r="I6" s="3">
        <v>73</v>
      </c>
      <c r="J6" s="3">
        <v>0</v>
      </c>
      <c r="K6" s="41">
        <v>33</v>
      </c>
      <c r="L6" s="40">
        <v>0.12207357859531773</v>
      </c>
      <c r="M6" s="40">
        <v>6.7796610169491525E-2</v>
      </c>
      <c r="N6" s="3">
        <v>55</v>
      </c>
      <c r="O6" s="3">
        <v>4</v>
      </c>
      <c r="P6" s="3">
        <v>59</v>
      </c>
      <c r="Q6" s="3">
        <v>1</v>
      </c>
      <c r="R6" s="3">
        <v>0</v>
      </c>
      <c r="S6" s="3">
        <v>1</v>
      </c>
      <c r="T6" s="3">
        <v>0</v>
      </c>
      <c r="U6" s="40">
        <v>1.8181818181818181E-2</v>
      </c>
      <c r="V6" s="40">
        <v>0</v>
      </c>
      <c r="W6" s="40">
        <v>1.8181818181818181E-2</v>
      </c>
      <c r="X6" s="40">
        <v>0</v>
      </c>
      <c r="Y6" s="40">
        <v>1.6949152542372881E-2</v>
      </c>
      <c r="Z6" s="3">
        <v>0</v>
      </c>
      <c r="AA6" s="3">
        <v>0</v>
      </c>
      <c r="AB6" s="3">
        <v>0</v>
      </c>
      <c r="AC6" s="3"/>
      <c r="AD6" s="3"/>
      <c r="AE6" s="3" t="s">
        <v>70</v>
      </c>
      <c r="AF6" s="38">
        <v>0.62437395659432382</v>
      </c>
      <c r="AG6" s="38">
        <v>0.37562604340567612</v>
      </c>
      <c r="AH6" s="3">
        <v>944.1</v>
      </c>
      <c r="AI6" s="3">
        <v>19</v>
      </c>
      <c r="AJ6" s="39">
        <v>1.4</v>
      </c>
      <c r="AK6" s="39">
        <v>1.7</v>
      </c>
      <c r="AL6" s="3">
        <v>571</v>
      </c>
      <c r="AM6" s="3">
        <v>27</v>
      </c>
      <c r="AN6" s="3">
        <v>0</v>
      </c>
      <c r="AO6" s="41">
        <v>33</v>
      </c>
      <c r="AP6" s="40">
        <v>4.51505016722408E-2</v>
      </c>
      <c r="AQ6" s="40">
        <v>2.6315789473684209E-2</v>
      </c>
      <c r="AR6" s="3">
        <v>370</v>
      </c>
      <c r="AS6" s="3">
        <v>10</v>
      </c>
      <c r="AT6" s="3">
        <v>374</v>
      </c>
      <c r="AU6" s="3">
        <v>41</v>
      </c>
      <c r="AV6" s="3">
        <v>0</v>
      </c>
      <c r="AW6" s="3">
        <v>4</v>
      </c>
      <c r="AX6" s="3">
        <v>0</v>
      </c>
      <c r="AY6" s="40">
        <v>0.11081081081081082</v>
      </c>
      <c r="AZ6" s="40">
        <v>0</v>
      </c>
      <c r="BA6" s="40">
        <v>1.0810810810810811E-2</v>
      </c>
      <c r="BB6" s="40">
        <v>0</v>
      </c>
      <c r="BC6" s="40">
        <v>0.10789473684210527</v>
      </c>
      <c r="BD6" s="3">
        <v>2</v>
      </c>
      <c r="BE6" s="3">
        <v>1</v>
      </c>
      <c r="BF6" s="3">
        <v>1</v>
      </c>
      <c r="BG6" s="3"/>
      <c r="BH6" s="3"/>
      <c r="BI6" s="3" t="s">
        <v>70</v>
      </c>
      <c r="BJ6" s="38">
        <v>0.53589315525876458</v>
      </c>
      <c r="BK6" s="38">
        <v>0.46410684474123537</v>
      </c>
      <c r="BL6" s="3">
        <v>1117.3</v>
      </c>
      <c r="BM6" s="3">
        <v>14</v>
      </c>
      <c r="BN6" s="39">
        <v>1.6</v>
      </c>
      <c r="BO6" s="39">
        <v>2.1</v>
      </c>
      <c r="BP6" s="3">
        <v>553</v>
      </c>
      <c r="BQ6" s="3">
        <v>45</v>
      </c>
      <c r="BR6" s="3">
        <v>0</v>
      </c>
      <c r="BS6" s="41">
        <v>4</v>
      </c>
      <c r="BT6" s="40">
        <v>7.5250836120401343E-2</v>
      </c>
      <c r="BU6" s="40">
        <v>0.11842105263157894</v>
      </c>
      <c r="BV6" s="3">
        <v>268</v>
      </c>
      <c r="BW6" s="3">
        <v>36</v>
      </c>
      <c r="BX6" s="3">
        <v>321</v>
      </c>
      <c r="BY6" s="3">
        <v>26</v>
      </c>
      <c r="BZ6" s="3">
        <v>3</v>
      </c>
      <c r="CA6" s="3">
        <v>26</v>
      </c>
      <c r="CB6" s="3">
        <v>1</v>
      </c>
      <c r="CC6" s="40">
        <v>9.7014925373134331E-2</v>
      </c>
      <c r="CD6" s="40">
        <v>8.3333333333333329E-2</v>
      </c>
      <c r="CE6" s="40">
        <v>9.7014925373134331E-2</v>
      </c>
      <c r="CF6" s="40">
        <v>2.7777777777777776E-2</v>
      </c>
      <c r="CG6" s="40">
        <v>9.5394736842105268E-2</v>
      </c>
      <c r="CH6" s="3">
        <v>2</v>
      </c>
      <c r="CI6" s="3">
        <v>0</v>
      </c>
      <c r="CJ6" s="3">
        <v>2</v>
      </c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</row>
    <row r="7" spans="1:494" s="2" customFormat="1" x14ac:dyDescent="0.2">
      <c r="A7" s="3" t="s">
        <v>71</v>
      </c>
      <c r="B7" s="38">
        <v>0.33889816360600999</v>
      </c>
      <c r="C7" s="38">
        <v>0.66110183639399001</v>
      </c>
      <c r="D7" s="3">
        <v>2213.3000000000002</v>
      </c>
      <c r="E7" s="3">
        <v>27</v>
      </c>
      <c r="F7" s="39">
        <v>3.3</v>
      </c>
      <c r="G7" s="39">
        <v>4.4000000000000004</v>
      </c>
      <c r="H7" s="3">
        <v>587</v>
      </c>
      <c r="I7" s="3">
        <v>11</v>
      </c>
      <c r="J7" s="3">
        <v>0</v>
      </c>
      <c r="K7" s="3">
        <v>32</v>
      </c>
      <c r="L7" s="40">
        <v>1.839464882943144E-2</v>
      </c>
      <c r="M7" s="40">
        <v>5.3398058252427182E-2</v>
      </c>
      <c r="N7" s="3">
        <v>195</v>
      </c>
      <c r="O7" s="3">
        <v>11</v>
      </c>
      <c r="P7" s="3">
        <v>203</v>
      </c>
      <c r="Q7" s="3">
        <v>0</v>
      </c>
      <c r="R7" s="3">
        <v>0</v>
      </c>
      <c r="S7" s="3">
        <v>0</v>
      </c>
      <c r="T7" s="3">
        <v>0</v>
      </c>
      <c r="U7" s="40">
        <v>0</v>
      </c>
      <c r="V7" s="40">
        <v>0</v>
      </c>
      <c r="W7" s="40">
        <v>0</v>
      </c>
      <c r="X7" s="40">
        <v>0</v>
      </c>
      <c r="Y7" s="40">
        <v>0</v>
      </c>
      <c r="Z7" s="3">
        <v>6</v>
      </c>
      <c r="AA7" s="3">
        <v>5</v>
      </c>
      <c r="AB7" s="3">
        <v>1</v>
      </c>
      <c r="AC7" s="3"/>
      <c r="AD7" s="3"/>
      <c r="AE7" s="3" t="s">
        <v>71</v>
      </c>
      <c r="AF7" s="38">
        <v>0.45819397993311034</v>
      </c>
      <c r="AG7" s="38">
        <v>0.5418060200668896</v>
      </c>
      <c r="AH7" s="3">
        <v>2528.4</v>
      </c>
      <c r="AI7" s="3">
        <v>31</v>
      </c>
      <c r="AJ7" s="39">
        <v>3.8</v>
      </c>
      <c r="AK7" s="39">
        <v>4.7</v>
      </c>
      <c r="AL7" s="3">
        <v>548</v>
      </c>
      <c r="AM7" s="3">
        <v>50</v>
      </c>
      <c r="AN7" s="3">
        <v>10</v>
      </c>
      <c r="AO7" s="3">
        <v>2</v>
      </c>
      <c r="AP7" s="40">
        <v>8.3612040133779264E-2</v>
      </c>
      <c r="AQ7" s="40">
        <v>0.11567164179104478</v>
      </c>
      <c r="AR7" s="3">
        <v>237</v>
      </c>
      <c r="AS7" s="3">
        <v>31</v>
      </c>
      <c r="AT7" s="3">
        <v>274</v>
      </c>
      <c r="AU7" s="3">
        <v>0</v>
      </c>
      <c r="AV7" s="3">
        <v>0</v>
      </c>
      <c r="AW7" s="3">
        <v>0</v>
      </c>
      <c r="AX7" s="3">
        <v>0</v>
      </c>
      <c r="AY7" s="40">
        <v>0</v>
      </c>
      <c r="AZ7" s="40">
        <v>0</v>
      </c>
      <c r="BA7" s="40">
        <v>0</v>
      </c>
      <c r="BB7" s="40">
        <v>0</v>
      </c>
      <c r="BC7" s="40">
        <v>0</v>
      </c>
      <c r="BD7" s="3">
        <v>16</v>
      </c>
      <c r="BE7" s="3">
        <v>13</v>
      </c>
      <c r="BF7" s="3">
        <v>3</v>
      </c>
      <c r="BG7" s="3"/>
      <c r="BH7" s="3"/>
      <c r="BI7" s="3" t="s">
        <v>71</v>
      </c>
      <c r="BJ7" s="38">
        <v>0.60434056761268784</v>
      </c>
      <c r="BK7" s="38">
        <v>0.39565943238731216</v>
      </c>
      <c r="BL7" s="3">
        <v>3467.2</v>
      </c>
      <c r="BM7" s="3">
        <v>46</v>
      </c>
      <c r="BN7" s="39">
        <v>5.4</v>
      </c>
      <c r="BO7" s="39">
        <v>6</v>
      </c>
      <c r="BP7" s="3">
        <v>297</v>
      </c>
      <c r="BQ7" s="3">
        <v>301</v>
      </c>
      <c r="BR7" s="3">
        <v>5</v>
      </c>
      <c r="BS7" s="41">
        <v>6</v>
      </c>
      <c r="BT7" s="40">
        <v>0.50334448160535117</v>
      </c>
      <c r="BU7" s="40">
        <v>0.34080717488789236</v>
      </c>
      <c r="BV7" s="3">
        <v>147</v>
      </c>
      <c r="BW7" s="3">
        <v>76</v>
      </c>
      <c r="BX7" s="3">
        <v>362</v>
      </c>
      <c r="BY7" s="3">
        <v>1</v>
      </c>
      <c r="BZ7" s="3">
        <v>1</v>
      </c>
      <c r="CA7" s="3">
        <v>1</v>
      </c>
      <c r="CB7" s="3">
        <v>0</v>
      </c>
      <c r="CC7" s="40">
        <v>6.8027210884353739E-3</v>
      </c>
      <c r="CD7" s="40">
        <v>1.3157894736842105E-2</v>
      </c>
      <c r="CE7" s="40">
        <v>6.8027210884353739E-3</v>
      </c>
      <c r="CF7" s="40">
        <v>0</v>
      </c>
      <c r="CG7" s="40">
        <v>8.9686098654708519E-3</v>
      </c>
      <c r="CH7" s="3">
        <v>16</v>
      </c>
      <c r="CI7" s="3">
        <v>12</v>
      </c>
      <c r="CJ7" s="3">
        <v>4</v>
      </c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</row>
    <row r="8" spans="1:494" s="2" customFormat="1" x14ac:dyDescent="0.2">
      <c r="A8" s="3" t="s">
        <v>66</v>
      </c>
      <c r="B8" s="38">
        <v>0.48914858096828046</v>
      </c>
      <c r="C8" s="38">
        <v>0.51085141903171949</v>
      </c>
      <c r="D8" s="3">
        <v>1743.3</v>
      </c>
      <c r="E8" s="3">
        <v>18</v>
      </c>
      <c r="F8" s="39">
        <v>3</v>
      </c>
      <c r="G8" s="39">
        <v>2.8</v>
      </c>
      <c r="H8" s="3">
        <v>536</v>
      </c>
      <c r="I8" s="3">
        <v>62</v>
      </c>
      <c r="J8" s="3">
        <v>0</v>
      </c>
      <c r="K8" s="3">
        <v>25</v>
      </c>
      <c r="L8" s="40">
        <v>0.10367892976588629</v>
      </c>
      <c r="M8" s="40">
        <v>0.27147766323024053</v>
      </c>
      <c r="N8" s="3">
        <v>212</v>
      </c>
      <c r="O8" s="3">
        <v>79</v>
      </c>
      <c r="P8" s="3">
        <v>293</v>
      </c>
      <c r="Q8" s="3">
        <v>0</v>
      </c>
      <c r="R8" s="3">
        <v>4</v>
      </c>
      <c r="S8" s="3">
        <v>0</v>
      </c>
      <c r="T8" s="3">
        <v>0</v>
      </c>
      <c r="U8" s="40">
        <v>0</v>
      </c>
      <c r="V8" s="40">
        <v>5.0632911392405063E-2</v>
      </c>
      <c r="W8" s="40">
        <v>0</v>
      </c>
      <c r="X8" s="40">
        <v>0</v>
      </c>
      <c r="Y8" s="40">
        <v>1.3745704467353952E-2</v>
      </c>
      <c r="Z8" s="3">
        <v>3</v>
      </c>
      <c r="AA8" s="3">
        <v>2</v>
      </c>
      <c r="AB8" s="3">
        <v>1</v>
      </c>
      <c r="AC8" s="3"/>
      <c r="AD8" s="3"/>
      <c r="AE8" s="3" t="s">
        <v>66</v>
      </c>
      <c r="AF8" s="38">
        <v>0.37729549248747912</v>
      </c>
      <c r="AG8" s="38">
        <v>0.62270450751252082</v>
      </c>
      <c r="AH8" s="3">
        <v>593.79999999999995</v>
      </c>
      <c r="AI8" s="3">
        <v>11</v>
      </c>
      <c r="AJ8" s="39">
        <v>1</v>
      </c>
      <c r="AK8" s="39">
        <v>0.9</v>
      </c>
      <c r="AL8" s="3">
        <v>596</v>
      </c>
      <c r="AM8" s="3">
        <v>2</v>
      </c>
      <c r="AN8" s="3">
        <v>0</v>
      </c>
      <c r="AO8" s="41">
        <v>117</v>
      </c>
      <c r="AP8" s="40">
        <v>3.3444816053511705E-3</v>
      </c>
      <c r="AQ8" s="40">
        <v>4.4247787610619468E-3</v>
      </c>
      <c r="AR8" s="3">
        <v>225</v>
      </c>
      <c r="AS8" s="3">
        <v>1</v>
      </c>
      <c r="AT8" s="3">
        <v>226</v>
      </c>
      <c r="AU8" s="3">
        <v>55</v>
      </c>
      <c r="AV8" s="3">
        <v>0</v>
      </c>
      <c r="AW8" s="3">
        <v>8</v>
      </c>
      <c r="AX8" s="3">
        <v>0</v>
      </c>
      <c r="AY8" s="40">
        <v>0.24444444444444444</v>
      </c>
      <c r="AZ8" s="40">
        <v>0</v>
      </c>
      <c r="BA8" s="40">
        <v>3.5555555555555556E-2</v>
      </c>
      <c r="BB8" s="40">
        <v>0</v>
      </c>
      <c r="BC8" s="40">
        <v>0.24336283185840707</v>
      </c>
      <c r="BD8" s="3">
        <v>1</v>
      </c>
      <c r="BE8" s="3">
        <v>1</v>
      </c>
      <c r="BF8" s="3">
        <v>0</v>
      </c>
      <c r="BG8" s="3"/>
      <c r="BH8" s="3"/>
      <c r="BI8" s="3" t="s">
        <v>66</v>
      </c>
      <c r="BJ8" s="38">
        <v>0.56833333333333336</v>
      </c>
      <c r="BK8" s="38">
        <v>0.43166666666666664</v>
      </c>
      <c r="BL8" s="3">
        <v>1189.4000000000001</v>
      </c>
      <c r="BM8" s="3">
        <v>11</v>
      </c>
      <c r="BN8" s="39">
        <v>1.9</v>
      </c>
      <c r="BO8" s="39">
        <v>2</v>
      </c>
      <c r="BP8" s="3">
        <v>529</v>
      </c>
      <c r="BQ8" s="3">
        <v>70</v>
      </c>
      <c r="BR8" s="3">
        <v>0</v>
      </c>
      <c r="BS8" s="3">
        <v>2</v>
      </c>
      <c r="BT8" s="40">
        <v>0.11686143572621036</v>
      </c>
      <c r="BU8" s="40">
        <v>0.33035714285714285</v>
      </c>
      <c r="BV8" s="3">
        <v>225</v>
      </c>
      <c r="BW8" s="3">
        <v>111</v>
      </c>
      <c r="BX8" s="3">
        <v>341</v>
      </c>
      <c r="BY8" s="3">
        <v>0</v>
      </c>
      <c r="BZ8" s="3">
        <v>0</v>
      </c>
      <c r="CA8" s="3">
        <v>0</v>
      </c>
      <c r="CB8" s="3">
        <v>0</v>
      </c>
      <c r="CC8" s="40">
        <v>0</v>
      </c>
      <c r="CD8" s="40">
        <v>0</v>
      </c>
      <c r="CE8" s="40">
        <v>0</v>
      </c>
      <c r="CF8" s="40">
        <v>0</v>
      </c>
      <c r="CG8" s="40">
        <v>0</v>
      </c>
      <c r="CH8" s="3">
        <v>2</v>
      </c>
      <c r="CI8" s="3">
        <v>1</v>
      </c>
      <c r="CJ8" s="3">
        <v>1</v>
      </c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</row>
    <row r="9" spans="1:494" s="2" customFormat="1" x14ac:dyDescent="0.2">
      <c r="A9" s="3" t="s">
        <v>67</v>
      </c>
      <c r="B9" s="38">
        <v>0.73789649415692826</v>
      </c>
      <c r="C9" s="38">
        <v>0.26210350584307179</v>
      </c>
      <c r="D9" s="3">
        <v>1580.3000000000002</v>
      </c>
      <c r="E9" s="3">
        <v>18</v>
      </c>
      <c r="F9" s="39">
        <v>2.7</v>
      </c>
      <c r="G9" s="39">
        <v>2.6</v>
      </c>
      <c r="H9" s="3">
        <v>546</v>
      </c>
      <c r="I9" s="3">
        <v>52</v>
      </c>
      <c r="J9" s="3">
        <v>0</v>
      </c>
      <c r="K9" s="41">
        <v>27</v>
      </c>
      <c r="L9" s="40">
        <v>8.6956521739130432E-2</v>
      </c>
      <c r="M9" s="40">
        <v>0.30136986301369861</v>
      </c>
      <c r="N9" s="3">
        <v>306</v>
      </c>
      <c r="O9" s="3">
        <v>132</v>
      </c>
      <c r="P9" s="3">
        <v>442</v>
      </c>
      <c r="Q9" s="3">
        <v>0</v>
      </c>
      <c r="R9" s="3">
        <v>0</v>
      </c>
      <c r="S9" s="3">
        <v>0</v>
      </c>
      <c r="T9" s="3">
        <v>0</v>
      </c>
      <c r="U9" s="40">
        <v>0</v>
      </c>
      <c r="V9" s="40">
        <v>0</v>
      </c>
      <c r="W9" s="40">
        <v>0</v>
      </c>
      <c r="X9" s="40">
        <v>0</v>
      </c>
      <c r="Y9" s="40">
        <v>0</v>
      </c>
      <c r="Z9" s="3">
        <v>1</v>
      </c>
      <c r="AA9" s="3">
        <v>1</v>
      </c>
      <c r="AB9" s="3">
        <v>0</v>
      </c>
      <c r="AC9" s="3"/>
      <c r="AD9" s="3"/>
      <c r="AE9" s="3" t="s">
        <v>67</v>
      </c>
      <c r="AF9" s="38">
        <v>0.57762938230383976</v>
      </c>
      <c r="AG9" s="38">
        <v>0.42237061769616024</v>
      </c>
      <c r="AH9" s="3">
        <v>1373.8</v>
      </c>
      <c r="AI9" s="3">
        <v>22</v>
      </c>
      <c r="AJ9" s="39">
        <v>2.2999999999999998</v>
      </c>
      <c r="AK9" s="39">
        <v>2.2999999999999998</v>
      </c>
      <c r="AL9" s="3">
        <v>588</v>
      </c>
      <c r="AM9" s="3">
        <v>10</v>
      </c>
      <c r="AN9" s="3">
        <v>0</v>
      </c>
      <c r="AO9" s="3">
        <v>21</v>
      </c>
      <c r="AP9" s="40">
        <v>1.6722408026755852E-2</v>
      </c>
      <c r="AQ9" s="40">
        <v>6.3768115942028983E-2</v>
      </c>
      <c r="AR9" s="3">
        <v>323</v>
      </c>
      <c r="AS9" s="3">
        <v>22</v>
      </c>
      <c r="AT9" s="3">
        <v>346</v>
      </c>
      <c r="AU9" s="3">
        <v>5</v>
      </c>
      <c r="AV9" s="3">
        <v>0</v>
      </c>
      <c r="AW9" s="3">
        <v>2</v>
      </c>
      <c r="AX9" s="3">
        <v>0</v>
      </c>
      <c r="AY9" s="40">
        <v>1.5479876160990712E-2</v>
      </c>
      <c r="AZ9" s="40">
        <v>0</v>
      </c>
      <c r="BA9" s="40">
        <v>6.1919504643962852E-3</v>
      </c>
      <c r="BB9" s="40">
        <v>0</v>
      </c>
      <c r="BC9" s="40">
        <v>1.4492753623188406E-2</v>
      </c>
      <c r="BD9" s="3">
        <v>0</v>
      </c>
      <c r="BE9" s="3">
        <v>0</v>
      </c>
      <c r="BF9" s="3">
        <v>0</v>
      </c>
      <c r="BG9" s="3"/>
      <c r="BH9" s="3"/>
      <c r="BI9" s="3" t="s">
        <v>67</v>
      </c>
      <c r="BJ9" s="38">
        <v>0.46711635750421587</v>
      </c>
      <c r="BK9" s="38">
        <v>0.53288364249578413</v>
      </c>
      <c r="BL9" s="3">
        <v>657.3</v>
      </c>
      <c r="BM9" s="3">
        <v>8</v>
      </c>
      <c r="BN9" s="39">
        <v>1.1000000000000001</v>
      </c>
      <c r="BO9" s="39">
        <v>1.1000000000000001</v>
      </c>
      <c r="BP9" s="3">
        <v>449</v>
      </c>
      <c r="BQ9" s="3">
        <v>150</v>
      </c>
      <c r="BR9" s="3">
        <v>0</v>
      </c>
      <c r="BS9" s="3">
        <v>88</v>
      </c>
      <c r="BT9" s="40">
        <v>0.25041736227045075</v>
      </c>
      <c r="BU9" s="40">
        <v>0.10830324909747292</v>
      </c>
      <c r="BV9" s="3">
        <v>247</v>
      </c>
      <c r="BW9" s="3">
        <v>30</v>
      </c>
      <c r="BX9" s="3">
        <v>277</v>
      </c>
      <c r="BY9" s="3">
        <v>10</v>
      </c>
      <c r="BZ9" s="3">
        <v>10</v>
      </c>
      <c r="CA9" s="3">
        <v>10</v>
      </c>
      <c r="CB9" s="3">
        <v>5</v>
      </c>
      <c r="CC9" s="40">
        <v>4.048582995951417E-2</v>
      </c>
      <c r="CD9" s="40">
        <v>0.33333333333333331</v>
      </c>
      <c r="CE9" s="40">
        <v>4.048582995951417E-2</v>
      </c>
      <c r="CF9" s="40">
        <v>0.16666666666666666</v>
      </c>
      <c r="CG9" s="40">
        <v>7.2202166064981949E-2</v>
      </c>
      <c r="CH9" s="3">
        <v>2</v>
      </c>
      <c r="CI9" s="3">
        <v>1</v>
      </c>
      <c r="CJ9" s="3">
        <v>1</v>
      </c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</row>
    <row r="10" spans="1:494" s="2" customFormat="1" x14ac:dyDescent="0.2">
      <c r="A10" s="3" t="s">
        <v>68</v>
      </c>
      <c r="B10" s="38">
        <v>0.44240400667779634</v>
      </c>
      <c r="C10" s="38">
        <v>0.55759599332220366</v>
      </c>
      <c r="D10" s="3">
        <v>1412.5</v>
      </c>
      <c r="E10" s="3">
        <v>26</v>
      </c>
      <c r="F10" s="39">
        <v>2.2999999999999998</v>
      </c>
      <c r="G10" s="39">
        <v>2.4</v>
      </c>
      <c r="H10" s="3">
        <v>587</v>
      </c>
      <c r="I10" s="3">
        <v>11</v>
      </c>
      <c r="J10" s="3">
        <v>0</v>
      </c>
      <c r="K10" s="3">
        <v>8</v>
      </c>
      <c r="L10" s="40">
        <v>1.839464882943144E-2</v>
      </c>
      <c r="M10" s="40">
        <v>4.1666666666666664E-2</v>
      </c>
      <c r="N10" s="3">
        <v>253</v>
      </c>
      <c r="O10" s="3">
        <v>11</v>
      </c>
      <c r="P10" s="3">
        <v>265</v>
      </c>
      <c r="Q10" s="3">
        <v>0</v>
      </c>
      <c r="R10" s="3">
        <v>0</v>
      </c>
      <c r="S10" s="3">
        <v>0</v>
      </c>
      <c r="T10" s="3">
        <v>0</v>
      </c>
      <c r="U10" s="40">
        <v>0</v>
      </c>
      <c r="V10" s="40">
        <v>0</v>
      </c>
      <c r="W10" s="40">
        <v>0</v>
      </c>
      <c r="X10" s="40">
        <v>0</v>
      </c>
      <c r="Y10" s="40">
        <v>0</v>
      </c>
      <c r="Z10" s="3">
        <v>0</v>
      </c>
      <c r="AA10" s="3">
        <v>0</v>
      </c>
      <c r="AB10" s="3">
        <v>0</v>
      </c>
      <c r="AC10" s="3"/>
      <c r="AD10" s="3"/>
      <c r="AE10" s="3" t="s">
        <v>68</v>
      </c>
      <c r="AF10" s="38">
        <v>0.50584307178631049</v>
      </c>
      <c r="AG10" s="38">
        <v>0.49415692821368951</v>
      </c>
      <c r="AH10" s="3">
        <v>2396.6999999999998</v>
      </c>
      <c r="AI10" s="3">
        <v>28</v>
      </c>
      <c r="AJ10" s="39">
        <v>4</v>
      </c>
      <c r="AK10" s="39">
        <v>4</v>
      </c>
      <c r="AL10" s="3">
        <v>561</v>
      </c>
      <c r="AM10" s="3">
        <v>37</v>
      </c>
      <c r="AN10" s="3">
        <v>0</v>
      </c>
      <c r="AO10" s="41">
        <v>46</v>
      </c>
      <c r="AP10" s="40">
        <v>6.1872909698996656E-2</v>
      </c>
      <c r="AQ10" s="40">
        <v>0.12211221122112212</v>
      </c>
      <c r="AR10" s="3">
        <v>266</v>
      </c>
      <c r="AS10" s="3">
        <v>37</v>
      </c>
      <c r="AT10" s="3">
        <v>303</v>
      </c>
      <c r="AU10" s="3">
        <v>0</v>
      </c>
      <c r="AV10" s="3">
        <v>0</v>
      </c>
      <c r="AW10" s="3">
        <v>0</v>
      </c>
      <c r="AX10" s="3">
        <v>0</v>
      </c>
      <c r="AY10" s="40">
        <v>0</v>
      </c>
      <c r="AZ10" s="40">
        <v>0</v>
      </c>
      <c r="BA10" s="40">
        <v>0</v>
      </c>
      <c r="BB10" s="40">
        <v>0</v>
      </c>
      <c r="BC10" s="40">
        <v>0</v>
      </c>
      <c r="BD10" s="3">
        <v>0</v>
      </c>
      <c r="BE10" s="3">
        <v>0</v>
      </c>
      <c r="BF10" s="3">
        <v>0</v>
      </c>
      <c r="BG10" s="3"/>
      <c r="BH10" s="3"/>
      <c r="BI10" s="3" t="s">
        <v>68</v>
      </c>
      <c r="BJ10" s="38">
        <v>0.51166666666666671</v>
      </c>
      <c r="BK10" s="38">
        <v>0.48833333333333334</v>
      </c>
      <c r="BL10" s="3">
        <v>1987.9</v>
      </c>
      <c r="BM10" s="3">
        <v>27</v>
      </c>
      <c r="BN10" s="39">
        <v>3</v>
      </c>
      <c r="BO10" s="39">
        <v>3.7</v>
      </c>
      <c r="BP10" s="3">
        <v>572</v>
      </c>
      <c r="BQ10" s="3">
        <v>27</v>
      </c>
      <c r="BR10" s="3">
        <v>0</v>
      </c>
      <c r="BS10" s="41">
        <v>19</v>
      </c>
      <c r="BT10" s="40">
        <v>4.5075125208681135E-2</v>
      </c>
      <c r="BU10" s="40">
        <v>0.10666666666666667</v>
      </c>
      <c r="BV10" s="3">
        <v>268</v>
      </c>
      <c r="BW10" s="3">
        <v>32</v>
      </c>
      <c r="BX10" s="3">
        <v>307</v>
      </c>
      <c r="BY10" s="3">
        <v>0</v>
      </c>
      <c r="BZ10" s="3">
        <v>0</v>
      </c>
      <c r="CA10" s="3">
        <v>0</v>
      </c>
      <c r="CB10" s="3">
        <v>0</v>
      </c>
      <c r="CC10" s="40">
        <v>0</v>
      </c>
      <c r="CD10" s="40">
        <v>0</v>
      </c>
      <c r="CE10" s="40">
        <v>0</v>
      </c>
      <c r="CF10" s="40">
        <v>0</v>
      </c>
      <c r="CG10" s="40">
        <v>0</v>
      </c>
      <c r="CH10" s="3">
        <v>16</v>
      </c>
      <c r="CI10" s="3">
        <v>7</v>
      </c>
      <c r="CJ10" s="3">
        <v>9</v>
      </c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</row>
    <row r="11" spans="1:494" s="2" customFormat="1" x14ac:dyDescent="0.2">
      <c r="A11" s="3" t="s">
        <v>69</v>
      </c>
      <c r="B11" s="38">
        <v>0.5025041736227045</v>
      </c>
      <c r="C11" s="38">
        <v>0.4974958263772955</v>
      </c>
      <c r="D11" s="3">
        <v>2172.8000000000002</v>
      </c>
      <c r="E11" s="3">
        <v>27</v>
      </c>
      <c r="F11" s="39">
        <v>3.7</v>
      </c>
      <c r="G11" s="39">
        <v>3.6</v>
      </c>
      <c r="H11" s="3">
        <v>580</v>
      </c>
      <c r="I11" s="3">
        <v>18</v>
      </c>
      <c r="J11" s="3">
        <v>0</v>
      </c>
      <c r="K11" s="3">
        <v>2</v>
      </c>
      <c r="L11" s="40">
        <v>3.0100334448160536E-2</v>
      </c>
      <c r="M11" s="40">
        <v>7.3089700996677748E-2</v>
      </c>
      <c r="N11" s="3">
        <v>279</v>
      </c>
      <c r="O11" s="3">
        <v>22</v>
      </c>
      <c r="P11" s="3">
        <v>301</v>
      </c>
      <c r="Q11" s="3">
        <v>0</v>
      </c>
      <c r="R11" s="3">
        <v>0</v>
      </c>
      <c r="S11" s="3">
        <v>0</v>
      </c>
      <c r="T11" s="3">
        <v>0</v>
      </c>
      <c r="U11" s="40">
        <v>0</v>
      </c>
      <c r="V11" s="40">
        <v>0</v>
      </c>
      <c r="W11" s="40">
        <v>0</v>
      </c>
      <c r="X11" s="40">
        <v>0</v>
      </c>
      <c r="Y11" s="40">
        <v>0</v>
      </c>
      <c r="Z11" s="3">
        <v>0</v>
      </c>
      <c r="AA11" s="3">
        <v>0</v>
      </c>
      <c r="AB11" s="3">
        <v>0</v>
      </c>
      <c r="AC11" s="3"/>
      <c r="AD11" s="3"/>
      <c r="AE11" s="3" t="s">
        <v>69</v>
      </c>
      <c r="AF11" s="38">
        <v>0.50918196994991649</v>
      </c>
      <c r="AG11" s="38">
        <v>0.49081803005008345</v>
      </c>
      <c r="AH11" s="3">
        <v>2116.1999999999998</v>
      </c>
      <c r="AI11" s="3">
        <v>26</v>
      </c>
      <c r="AJ11" s="39">
        <v>3.5</v>
      </c>
      <c r="AK11" s="39">
        <v>3.6</v>
      </c>
      <c r="AL11" s="3">
        <v>572</v>
      </c>
      <c r="AM11" s="3">
        <v>26</v>
      </c>
      <c r="AN11" s="3">
        <v>3</v>
      </c>
      <c r="AO11" s="41">
        <v>40</v>
      </c>
      <c r="AP11" s="40">
        <v>4.3478260869565216E-2</v>
      </c>
      <c r="AQ11" s="40">
        <v>0.11147540983606558</v>
      </c>
      <c r="AR11" s="3">
        <v>271</v>
      </c>
      <c r="AS11" s="3">
        <v>34</v>
      </c>
      <c r="AT11" s="3">
        <v>305</v>
      </c>
      <c r="AU11" s="3">
        <v>0</v>
      </c>
      <c r="AV11" s="3">
        <v>0</v>
      </c>
      <c r="AW11" s="3">
        <v>0</v>
      </c>
      <c r="AX11" s="3">
        <v>0</v>
      </c>
      <c r="AY11" s="40">
        <v>0</v>
      </c>
      <c r="AZ11" s="40">
        <v>0</v>
      </c>
      <c r="BA11" s="40">
        <v>0</v>
      </c>
      <c r="BB11" s="40">
        <v>0</v>
      </c>
      <c r="BC11" s="40">
        <v>0</v>
      </c>
      <c r="BD11" s="3">
        <v>1</v>
      </c>
      <c r="BE11" s="3">
        <v>1</v>
      </c>
      <c r="BF11" s="3">
        <v>0</v>
      </c>
      <c r="BG11" s="3"/>
      <c r="BH11" s="3"/>
      <c r="BI11" s="3" t="s">
        <v>69</v>
      </c>
      <c r="BJ11" s="38">
        <v>0.4414715719063545</v>
      </c>
      <c r="BK11" s="38">
        <v>0.55852842809364545</v>
      </c>
      <c r="BL11" s="3">
        <v>1507.3</v>
      </c>
      <c r="BM11" s="3">
        <v>15</v>
      </c>
      <c r="BN11" s="39">
        <v>2.5</v>
      </c>
      <c r="BO11" s="39">
        <v>2.6</v>
      </c>
      <c r="BP11" s="3">
        <v>542</v>
      </c>
      <c r="BQ11" s="3">
        <v>57</v>
      </c>
      <c r="BR11" s="3">
        <v>0</v>
      </c>
      <c r="BS11" s="3">
        <v>18</v>
      </c>
      <c r="BT11" s="40">
        <v>9.515859766277128E-2</v>
      </c>
      <c r="BU11" s="40">
        <v>0.16470588235294117</v>
      </c>
      <c r="BV11" s="3">
        <v>213</v>
      </c>
      <c r="BW11" s="3">
        <v>42</v>
      </c>
      <c r="BX11" s="3">
        <v>264</v>
      </c>
      <c r="BY11" s="3">
        <v>17</v>
      </c>
      <c r="BZ11" s="3">
        <v>1</v>
      </c>
      <c r="CA11" s="3">
        <v>17</v>
      </c>
      <c r="CB11" s="3">
        <v>0</v>
      </c>
      <c r="CC11" s="40">
        <v>7.9812206572769953E-2</v>
      </c>
      <c r="CD11" s="40">
        <v>2.3809523809523808E-2</v>
      </c>
      <c r="CE11" s="40">
        <v>7.9812206572769953E-2</v>
      </c>
      <c r="CF11" s="40">
        <v>0</v>
      </c>
      <c r="CG11" s="40">
        <v>7.0588235294117646E-2</v>
      </c>
      <c r="CH11" s="3">
        <v>2</v>
      </c>
      <c r="CI11" s="3">
        <v>1</v>
      </c>
      <c r="CJ11" s="3">
        <v>1</v>
      </c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</row>
    <row r="12" spans="1:494" s="2" customFormat="1" x14ac:dyDescent="0.2">
      <c r="A12" s="3" t="s">
        <v>70</v>
      </c>
      <c r="B12" s="38">
        <v>0.49122807017543857</v>
      </c>
      <c r="C12" s="38">
        <v>0.50877192982456143</v>
      </c>
      <c r="D12" s="3">
        <v>1583.8000000000002</v>
      </c>
      <c r="E12" s="3">
        <v>21</v>
      </c>
      <c r="F12" s="39">
        <v>2.6</v>
      </c>
      <c r="G12" s="39">
        <v>3</v>
      </c>
      <c r="H12" s="3">
        <v>527</v>
      </c>
      <c r="I12" s="3">
        <v>71</v>
      </c>
      <c r="J12" s="3">
        <v>0</v>
      </c>
      <c r="K12" s="3">
        <v>54</v>
      </c>
      <c r="L12" s="40">
        <v>0.11872909698996656</v>
      </c>
      <c r="M12" s="40">
        <v>0.156</v>
      </c>
      <c r="N12" s="3">
        <v>211</v>
      </c>
      <c r="O12" s="3">
        <v>39</v>
      </c>
      <c r="P12" s="3">
        <v>280</v>
      </c>
      <c r="Q12" s="3">
        <v>5</v>
      </c>
      <c r="R12" s="3">
        <v>0</v>
      </c>
      <c r="S12" s="3">
        <v>5</v>
      </c>
      <c r="T12" s="3">
        <v>0</v>
      </c>
      <c r="U12" s="40">
        <v>2.3696682464454975E-2</v>
      </c>
      <c r="V12" s="40">
        <v>0</v>
      </c>
      <c r="W12" s="40">
        <v>2.3696682464454975E-2</v>
      </c>
      <c r="X12" s="40">
        <v>0</v>
      </c>
      <c r="Y12" s="40">
        <v>0.02</v>
      </c>
      <c r="Z12" s="3">
        <v>0</v>
      </c>
      <c r="AA12" s="3">
        <v>0</v>
      </c>
      <c r="AB12" s="3">
        <v>0</v>
      </c>
      <c r="AC12" s="3"/>
      <c r="AD12" s="3"/>
      <c r="AE12" s="3" t="s">
        <v>70</v>
      </c>
      <c r="AF12" s="38">
        <v>0.52754590984974958</v>
      </c>
      <c r="AG12" s="38">
        <v>0.47245409015025042</v>
      </c>
      <c r="AH12" s="3">
        <v>2664.7</v>
      </c>
      <c r="AI12" s="3">
        <v>25</v>
      </c>
      <c r="AJ12" s="39">
        <v>4.2</v>
      </c>
      <c r="AK12" s="39">
        <v>4.7</v>
      </c>
      <c r="AL12" s="3">
        <v>498</v>
      </c>
      <c r="AM12" s="3">
        <v>100</v>
      </c>
      <c r="AN12" s="3">
        <v>3</v>
      </c>
      <c r="AO12" s="3">
        <v>1</v>
      </c>
      <c r="AP12" s="40">
        <v>0.16722408026755853</v>
      </c>
      <c r="AQ12" s="40">
        <v>0.32051282051282054</v>
      </c>
      <c r="AR12" s="3">
        <v>212</v>
      </c>
      <c r="AS12" s="3">
        <v>100</v>
      </c>
      <c r="AT12" s="3">
        <v>316</v>
      </c>
      <c r="AU12" s="3">
        <v>2</v>
      </c>
      <c r="AV12" s="3">
        <v>0</v>
      </c>
      <c r="AW12" s="3">
        <v>0</v>
      </c>
      <c r="AX12" s="3">
        <v>0</v>
      </c>
      <c r="AY12" s="40">
        <v>9.433962264150943E-3</v>
      </c>
      <c r="AZ12" s="40">
        <v>0</v>
      </c>
      <c r="BA12" s="40">
        <v>0</v>
      </c>
      <c r="BB12" s="40">
        <v>0</v>
      </c>
      <c r="BC12" s="40">
        <v>6.41025641025641E-3</v>
      </c>
      <c r="BD12" s="3">
        <v>13</v>
      </c>
      <c r="BE12" s="3">
        <v>10</v>
      </c>
      <c r="BF12" s="3">
        <v>3</v>
      </c>
      <c r="BG12" s="3"/>
      <c r="BH12" s="3"/>
      <c r="BI12" s="3" t="s">
        <v>70</v>
      </c>
      <c r="BJ12" s="38">
        <v>0.57335581787521084</v>
      </c>
      <c r="BK12" s="38">
        <v>0.42664418212478922</v>
      </c>
      <c r="BL12" s="3">
        <v>1331.8000000000002</v>
      </c>
      <c r="BM12" s="3">
        <v>6</v>
      </c>
      <c r="BN12" s="39">
        <v>2.1</v>
      </c>
      <c r="BO12" s="39">
        <v>2.2999999999999998</v>
      </c>
      <c r="BP12" s="3">
        <v>418</v>
      </c>
      <c r="BQ12" s="3">
        <v>181</v>
      </c>
      <c r="BR12" s="3">
        <v>0</v>
      </c>
      <c r="BS12" s="3">
        <v>217</v>
      </c>
      <c r="BT12" s="40">
        <v>0.30217028380634392</v>
      </c>
      <c r="BU12" s="40">
        <v>0.66349206349206347</v>
      </c>
      <c r="BV12" s="3">
        <v>106</v>
      </c>
      <c r="BW12" s="3">
        <v>209</v>
      </c>
      <c r="BX12" s="3">
        <v>340</v>
      </c>
      <c r="BY12" s="3">
        <v>0</v>
      </c>
      <c r="BZ12" s="3">
        <v>57</v>
      </c>
      <c r="CA12" s="3">
        <v>0</v>
      </c>
      <c r="CB12" s="3">
        <v>16</v>
      </c>
      <c r="CC12" s="40">
        <v>0</v>
      </c>
      <c r="CD12" s="40">
        <v>0.27272727272727271</v>
      </c>
      <c r="CE12" s="40">
        <v>0</v>
      </c>
      <c r="CF12" s="40">
        <v>7.6555023923444973E-2</v>
      </c>
      <c r="CG12" s="40">
        <v>0.18095238095238095</v>
      </c>
      <c r="CH12" s="3">
        <v>2</v>
      </c>
      <c r="CI12" s="3">
        <v>2</v>
      </c>
      <c r="CJ12" s="3">
        <v>0</v>
      </c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</row>
    <row r="13" spans="1:494" s="2" customFormat="1" x14ac:dyDescent="0.2">
      <c r="A13" s="3" t="s">
        <v>71</v>
      </c>
      <c r="B13" s="38">
        <v>0.34223706176961605</v>
      </c>
      <c r="C13" s="38">
        <v>0.65776293823038401</v>
      </c>
      <c r="D13" s="3">
        <v>1873.5</v>
      </c>
      <c r="E13" s="3">
        <v>18</v>
      </c>
      <c r="F13" s="39">
        <v>3</v>
      </c>
      <c r="G13" s="39">
        <v>3.5</v>
      </c>
      <c r="H13" s="3">
        <v>591</v>
      </c>
      <c r="I13" s="3">
        <v>7</v>
      </c>
      <c r="J13" s="3">
        <v>0</v>
      </c>
      <c r="K13" s="41">
        <v>27</v>
      </c>
      <c r="L13" s="40">
        <v>1.1705685618729096E-2</v>
      </c>
      <c r="M13" s="40">
        <v>7.3529411764705885E-2</v>
      </c>
      <c r="N13" s="3">
        <v>189</v>
      </c>
      <c r="O13" s="3">
        <v>15</v>
      </c>
      <c r="P13" s="3">
        <v>205</v>
      </c>
      <c r="Q13" s="3">
        <v>0</v>
      </c>
      <c r="R13" s="3">
        <v>0</v>
      </c>
      <c r="S13" s="3">
        <v>0</v>
      </c>
      <c r="T13" s="3">
        <v>0</v>
      </c>
      <c r="U13" s="40">
        <v>0</v>
      </c>
      <c r="V13" s="40">
        <v>0</v>
      </c>
      <c r="W13" s="40">
        <v>0</v>
      </c>
      <c r="X13" s="40">
        <v>0</v>
      </c>
      <c r="Y13" s="40">
        <v>0</v>
      </c>
      <c r="Z13" s="3">
        <v>2</v>
      </c>
      <c r="AA13" s="3">
        <v>1</v>
      </c>
      <c r="AB13" s="3">
        <v>1</v>
      </c>
      <c r="AC13" s="3"/>
      <c r="AD13" s="3"/>
      <c r="AE13" s="3" t="s">
        <v>71</v>
      </c>
      <c r="AF13" s="38">
        <v>0.48414023372287146</v>
      </c>
      <c r="AG13" s="38">
        <v>0.5158597662771286</v>
      </c>
      <c r="AH13" s="3">
        <v>1264.8</v>
      </c>
      <c r="AI13" s="3">
        <v>12</v>
      </c>
      <c r="AJ13" s="39">
        <v>2.1</v>
      </c>
      <c r="AK13" s="39">
        <v>2.2000000000000002</v>
      </c>
      <c r="AL13" s="3">
        <v>566</v>
      </c>
      <c r="AM13" s="3">
        <v>32</v>
      </c>
      <c r="AN13" s="3">
        <v>0</v>
      </c>
      <c r="AO13" s="41">
        <v>94</v>
      </c>
      <c r="AP13" s="40">
        <v>5.3511705685618728E-2</v>
      </c>
      <c r="AQ13" s="40">
        <v>9.9656357388316158E-2</v>
      </c>
      <c r="AR13" s="3">
        <v>262</v>
      </c>
      <c r="AS13" s="3">
        <v>29</v>
      </c>
      <c r="AT13" s="3">
        <v>290</v>
      </c>
      <c r="AU13" s="3">
        <v>1</v>
      </c>
      <c r="AV13" s="3">
        <v>0</v>
      </c>
      <c r="AW13" s="3">
        <v>0</v>
      </c>
      <c r="AX13" s="3">
        <v>0</v>
      </c>
      <c r="AY13" s="40">
        <v>3.8167938931297708E-3</v>
      </c>
      <c r="AZ13" s="40">
        <v>0</v>
      </c>
      <c r="BA13" s="40">
        <v>0</v>
      </c>
      <c r="BB13" s="40">
        <v>0</v>
      </c>
      <c r="BC13" s="40">
        <v>3.4364261168384879E-3</v>
      </c>
      <c r="BD13" s="3">
        <v>1</v>
      </c>
      <c r="BE13" s="3">
        <v>1</v>
      </c>
      <c r="BF13" s="3">
        <v>0</v>
      </c>
      <c r="BG13" s="3"/>
      <c r="BH13" s="3"/>
      <c r="BI13" s="3" t="s">
        <v>71</v>
      </c>
      <c r="BJ13" s="38">
        <v>0.37666666666666665</v>
      </c>
      <c r="BK13" s="38">
        <v>0.62333333333333329</v>
      </c>
      <c r="BL13" s="3">
        <v>1083.4000000000001</v>
      </c>
      <c r="BM13" s="3">
        <v>14</v>
      </c>
      <c r="BN13" s="39">
        <v>1.8</v>
      </c>
      <c r="BO13" s="39">
        <v>1.8</v>
      </c>
      <c r="BP13" s="3">
        <v>581</v>
      </c>
      <c r="BQ13" s="3">
        <v>18</v>
      </c>
      <c r="BR13" s="3">
        <v>0</v>
      </c>
      <c r="BS13" s="41">
        <v>23</v>
      </c>
      <c r="BT13" s="40">
        <v>3.0050083472454091E-2</v>
      </c>
      <c r="BU13" s="40">
        <v>0.11946902654867257</v>
      </c>
      <c r="BV13" s="3">
        <v>199</v>
      </c>
      <c r="BW13" s="3">
        <v>27</v>
      </c>
      <c r="BX13" s="3">
        <v>226</v>
      </c>
      <c r="BY13" s="3">
        <v>1</v>
      </c>
      <c r="BZ13" s="3">
        <v>0</v>
      </c>
      <c r="CA13" s="3">
        <v>1</v>
      </c>
      <c r="CB13" s="3">
        <v>0</v>
      </c>
      <c r="CC13" s="40">
        <v>5.0251256281407036E-3</v>
      </c>
      <c r="CD13" s="40">
        <v>0</v>
      </c>
      <c r="CE13" s="40">
        <v>5.0251256281407036E-3</v>
      </c>
      <c r="CF13" s="40">
        <v>0</v>
      </c>
      <c r="CG13" s="40">
        <v>4.4247787610619468E-3</v>
      </c>
      <c r="CH13" s="3">
        <v>1</v>
      </c>
      <c r="CI13" s="3">
        <v>1</v>
      </c>
      <c r="CJ13" s="3">
        <v>0</v>
      </c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</row>
    <row r="14" spans="1:494" s="2" customFormat="1" x14ac:dyDescent="0.2">
      <c r="A14" s="3" t="s">
        <v>66</v>
      </c>
      <c r="B14" s="38">
        <v>0.32220367278797996</v>
      </c>
      <c r="C14" s="38">
        <v>0.67779632721201999</v>
      </c>
      <c r="D14" s="3">
        <v>1141</v>
      </c>
      <c r="E14" s="3">
        <v>22</v>
      </c>
      <c r="F14" s="39">
        <v>1.9</v>
      </c>
      <c r="G14" s="39">
        <v>2</v>
      </c>
      <c r="H14" s="3">
        <v>598</v>
      </c>
      <c r="I14" s="3">
        <v>0</v>
      </c>
      <c r="J14" s="3">
        <v>0</v>
      </c>
      <c r="K14" s="3">
        <v>13</v>
      </c>
      <c r="L14" s="40">
        <v>0</v>
      </c>
      <c r="M14" s="40">
        <v>0</v>
      </c>
      <c r="N14" s="3">
        <v>188</v>
      </c>
      <c r="O14" s="3">
        <v>0</v>
      </c>
      <c r="P14" s="3">
        <v>193</v>
      </c>
      <c r="Q14" s="3">
        <v>3</v>
      </c>
      <c r="R14" s="3">
        <v>0</v>
      </c>
      <c r="S14" s="3">
        <v>3</v>
      </c>
      <c r="T14" s="3">
        <v>0</v>
      </c>
      <c r="U14" s="40">
        <v>1.5957446808510637E-2</v>
      </c>
      <c r="V14" s="40">
        <v>0</v>
      </c>
      <c r="W14" s="40">
        <v>1.5957446808510637E-2</v>
      </c>
      <c r="X14" s="40">
        <v>0</v>
      </c>
      <c r="Y14" s="40">
        <v>1.5957446808510637E-2</v>
      </c>
      <c r="Z14" s="3">
        <v>0</v>
      </c>
      <c r="AA14" s="3">
        <v>0</v>
      </c>
      <c r="AB14" s="3">
        <v>0</v>
      </c>
      <c r="AC14" s="3"/>
      <c r="AD14" s="3"/>
      <c r="AE14" s="3" t="s">
        <v>66</v>
      </c>
      <c r="AF14" s="38">
        <v>0.47913188647746241</v>
      </c>
      <c r="AG14" s="38">
        <v>0.52086811352253759</v>
      </c>
      <c r="AH14" s="3">
        <v>2698.9</v>
      </c>
      <c r="AI14" s="3">
        <v>24</v>
      </c>
      <c r="AJ14" s="39">
        <v>4.4000000000000004</v>
      </c>
      <c r="AK14" s="39">
        <v>4.5999999999999996</v>
      </c>
      <c r="AL14" s="3">
        <v>477</v>
      </c>
      <c r="AM14" s="3">
        <v>121</v>
      </c>
      <c r="AN14" s="3">
        <v>0</v>
      </c>
      <c r="AO14" s="3">
        <v>10</v>
      </c>
      <c r="AP14" s="40">
        <v>0.20234113712374582</v>
      </c>
      <c r="AQ14" s="40">
        <v>0.4456140350877193</v>
      </c>
      <c r="AR14" s="3">
        <v>158</v>
      </c>
      <c r="AS14" s="3">
        <v>127</v>
      </c>
      <c r="AT14" s="3">
        <v>287</v>
      </c>
      <c r="AU14" s="3">
        <v>0</v>
      </c>
      <c r="AV14" s="3">
        <v>0</v>
      </c>
      <c r="AW14" s="3">
        <v>0</v>
      </c>
      <c r="AX14" s="3">
        <v>0</v>
      </c>
      <c r="AY14" s="40">
        <v>0</v>
      </c>
      <c r="AZ14" s="40">
        <v>0</v>
      </c>
      <c r="BA14" s="40">
        <v>0</v>
      </c>
      <c r="BB14" s="40">
        <v>0</v>
      </c>
      <c r="BC14" s="40">
        <v>0</v>
      </c>
      <c r="BD14" s="3">
        <v>11</v>
      </c>
      <c r="BE14" s="3">
        <v>3</v>
      </c>
      <c r="BF14" s="3">
        <v>8</v>
      </c>
      <c r="BG14" s="3"/>
      <c r="BH14" s="3"/>
      <c r="BI14" s="3" t="s">
        <v>66</v>
      </c>
      <c r="BJ14" s="38">
        <v>0.61268781302170283</v>
      </c>
      <c r="BK14" s="38">
        <v>0.38731218697829717</v>
      </c>
      <c r="BL14" s="3">
        <v>1447</v>
      </c>
      <c r="BM14" s="3">
        <v>17</v>
      </c>
      <c r="BN14" s="39">
        <v>2.4</v>
      </c>
      <c r="BO14" s="39">
        <v>2.4</v>
      </c>
      <c r="BP14" s="3">
        <v>556</v>
      </c>
      <c r="BQ14" s="3">
        <v>42</v>
      </c>
      <c r="BR14" s="3">
        <v>0</v>
      </c>
      <c r="BS14" s="3">
        <v>18</v>
      </c>
      <c r="BT14" s="40">
        <v>7.0234113712374577E-2</v>
      </c>
      <c r="BU14" s="40">
        <v>0.22950819672131148</v>
      </c>
      <c r="BV14" s="3">
        <v>282</v>
      </c>
      <c r="BW14" s="3">
        <v>84</v>
      </c>
      <c r="BX14" s="3">
        <v>367</v>
      </c>
      <c r="BY14" s="3">
        <v>0</v>
      </c>
      <c r="BZ14" s="3">
        <v>4</v>
      </c>
      <c r="CA14" s="3">
        <v>0</v>
      </c>
      <c r="CB14" s="3">
        <v>0</v>
      </c>
      <c r="CC14" s="40">
        <v>0</v>
      </c>
      <c r="CD14" s="40">
        <v>4.7619047619047616E-2</v>
      </c>
      <c r="CE14" s="40">
        <v>0</v>
      </c>
      <c r="CF14" s="40">
        <v>0</v>
      </c>
      <c r="CG14" s="40">
        <v>1.092896174863388E-2</v>
      </c>
      <c r="CH14" s="3">
        <v>3</v>
      </c>
      <c r="CI14" s="3">
        <v>2</v>
      </c>
      <c r="CJ14" s="3">
        <v>1</v>
      </c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</row>
    <row r="15" spans="1:494" s="2" customFormat="1" x14ac:dyDescent="0.2">
      <c r="A15" s="3" t="s">
        <v>67</v>
      </c>
      <c r="B15" s="38">
        <v>0.51919866444073459</v>
      </c>
      <c r="C15" s="38">
        <v>0.48080133555926546</v>
      </c>
      <c r="D15" s="3">
        <v>1669</v>
      </c>
      <c r="E15" s="3">
        <v>22</v>
      </c>
      <c r="F15" s="39">
        <v>2.8</v>
      </c>
      <c r="G15" s="39">
        <v>2.7</v>
      </c>
      <c r="H15" s="3">
        <v>554</v>
      </c>
      <c r="I15" s="3">
        <v>44</v>
      </c>
      <c r="J15" s="3">
        <v>0</v>
      </c>
      <c r="K15" s="41">
        <v>25</v>
      </c>
      <c r="L15" s="40">
        <v>7.3578595317725759E-2</v>
      </c>
      <c r="M15" s="40">
        <v>0.17161716171617161</v>
      </c>
      <c r="N15" s="3">
        <v>251</v>
      </c>
      <c r="O15" s="3">
        <v>52</v>
      </c>
      <c r="P15" s="3">
        <v>311</v>
      </c>
      <c r="Q15" s="3">
        <v>0</v>
      </c>
      <c r="R15" s="3">
        <v>0</v>
      </c>
      <c r="S15" s="3">
        <v>0</v>
      </c>
      <c r="T15" s="3">
        <v>0</v>
      </c>
      <c r="U15" s="40">
        <v>0</v>
      </c>
      <c r="V15" s="40">
        <v>0</v>
      </c>
      <c r="W15" s="40">
        <v>0</v>
      </c>
      <c r="X15" s="40">
        <v>0</v>
      </c>
      <c r="Y15" s="40">
        <v>0</v>
      </c>
      <c r="Z15" s="3">
        <v>0</v>
      </c>
      <c r="AA15" s="3">
        <v>0</v>
      </c>
      <c r="AB15" s="3">
        <v>0</v>
      </c>
      <c r="AC15" s="3"/>
      <c r="AD15" s="3"/>
      <c r="AE15" s="47" t="s">
        <v>67</v>
      </c>
      <c r="AF15" s="38">
        <v>0.73121869782971616</v>
      </c>
      <c r="AG15" s="38">
        <v>0.26878130217028379</v>
      </c>
      <c r="AH15" s="3">
        <v>1744.1999999999998</v>
      </c>
      <c r="AI15" s="3">
        <v>22</v>
      </c>
      <c r="AJ15" s="39">
        <v>3.1</v>
      </c>
      <c r="AK15" s="39">
        <v>2.8</v>
      </c>
      <c r="AL15" s="3">
        <v>563</v>
      </c>
      <c r="AM15" s="3">
        <v>35</v>
      </c>
      <c r="AN15" s="3">
        <v>0</v>
      </c>
      <c r="AO15" s="41">
        <v>36</v>
      </c>
      <c r="AP15" s="40">
        <v>5.8528428093645488E-2</v>
      </c>
      <c r="AQ15" s="40">
        <v>0.15981735159817351</v>
      </c>
      <c r="AR15" s="3">
        <v>368</v>
      </c>
      <c r="AS15" s="3">
        <v>70</v>
      </c>
      <c r="AT15" s="3">
        <v>438</v>
      </c>
      <c r="AU15" s="3">
        <v>0</v>
      </c>
      <c r="AV15" s="3">
        <v>0</v>
      </c>
      <c r="AW15" s="3">
        <v>0</v>
      </c>
      <c r="AX15" s="3">
        <v>0</v>
      </c>
      <c r="AY15" s="40">
        <v>0</v>
      </c>
      <c r="AZ15" s="40">
        <v>0</v>
      </c>
      <c r="BA15" s="40">
        <v>0</v>
      </c>
      <c r="BB15" s="40">
        <v>0</v>
      </c>
      <c r="BC15" s="40">
        <v>0</v>
      </c>
      <c r="BD15" s="3">
        <v>0</v>
      </c>
      <c r="BE15" s="3">
        <v>0</v>
      </c>
      <c r="BF15" s="3">
        <v>0</v>
      </c>
      <c r="BG15" s="3"/>
      <c r="BH15" s="3"/>
      <c r="BI15" s="3" t="s">
        <v>67</v>
      </c>
      <c r="BJ15" s="38">
        <v>0.60434056761268784</v>
      </c>
      <c r="BK15" s="38">
        <v>0.39565943238731216</v>
      </c>
      <c r="BL15" s="3">
        <v>1233.7</v>
      </c>
      <c r="BM15" s="3">
        <v>20</v>
      </c>
      <c r="BN15" s="39">
        <v>2.4</v>
      </c>
      <c r="BO15" s="39">
        <v>1.8</v>
      </c>
      <c r="BP15" s="3">
        <v>587</v>
      </c>
      <c r="BQ15" s="3">
        <v>11</v>
      </c>
      <c r="BR15" s="3">
        <v>0</v>
      </c>
      <c r="BS15" s="3">
        <v>9</v>
      </c>
      <c r="BT15" s="40">
        <v>1.839464882943144E-2</v>
      </c>
      <c r="BU15" s="40">
        <v>9.9722991689750698E-2</v>
      </c>
      <c r="BV15" s="3">
        <v>325</v>
      </c>
      <c r="BW15" s="3">
        <v>36</v>
      </c>
      <c r="BX15" s="3">
        <v>362</v>
      </c>
      <c r="BY15" s="3">
        <v>31</v>
      </c>
      <c r="BZ15" s="3">
        <v>2</v>
      </c>
      <c r="CA15" s="3">
        <v>31</v>
      </c>
      <c r="CB15" s="3">
        <v>1</v>
      </c>
      <c r="CC15" s="40">
        <v>9.5384615384615387E-2</v>
      </c>
      <c r="CD15" s="40">
        <v>5.5555555555555552E-2</v>
      </c>
      <c r="CE15" s="40">
        <v>9.5384615384615387E-2</v>
      </c>
      <c r="CF15" s="40">
        <v>2.7777777777777776E-2</v>
      </c>
      <c r="CG15" s="40">
        <v>9.141274238227147E-2</v>
      </c>
      <c r="CH15" s="3">
        <v>0</v>
      </c>
      <c r="CI15" s="3">
        <v>0</v>
      </c>
      <c r="CJ15" s="3">
        <v>0</v>
      </c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</row>
    <row r="16" spans="1:494" s="6" customFormat="1" x14ac:dyDescent="0.2">
      <c r="A16" s="7" t="s">
        <v>68</v>
      </c>
      <c r="B16" s="51">
        <v>0.51085141903171949</v>
      </c>
      <c r="C16" s="51">
        <v>0.48914858096828046</v>
      </c>
      <c r="D16" s="7">
        <v>1489.6</v>
      </c>
      <c r="E16" s="7">
        <v>14</v>
      </c>
      <c r="F16" s="52">
        <v>2.5</v>
      </c>
      <c r="G16" s="52">
        <v>2.5</v>
      </c>
      <c r="H16" s="7">
        <v>531</v>
      </c>
      <c r="I16" s="7">
        <v>67</v>
      </c>
      <c r="J16" s="7">
        <v>0</v>
      </c>
      <c r="K16" s="7">
        <v>29</v>
      </c>
      <c r="L16" s="53">
        <v>0.11204013377926421</v>
      </c>
      <c r="M16" s="53">
        <v>0.31147540983606559</v>
      </c>
      <c r="N16" s="7">
        <v>210</v>
      </c>
      <c r="O16" s="7">
        <v>95</v>
      </c>
      <c r="P16" s="7">
        <v>306</v>
      </c>
      <c r="Q16" s="7">
        <v>2</v>
      </c>
      <c r="R16" s="7">
        <v>11</v>
      </c>
      <c r="S16" s="7">
        <v>0</v>
      </c>
      <c r="T16" s="7">
        <v>3</v>
      </c>
      <c r="U16" s="53">
        <v>9.5238095238095247E-3</v>
      </c>
      <c r="V16" s="53">
        <v>0.11578947368421053</v>
      </c>
      <c r="W16" s="53">
        <v>0</v>
      </c>
      <c r="X16" s="53">
        <v>3.1578947368421054E-2</v>
      </c>
      <c r="Y16" s="53">
        <v>4.2622950819672129E-2</v>
      </c>
      <c r="Z16" s="7">
        <v>1</v>
      </c>
      <c r="AA16" s="7">
        <v>1</v>
      </c>
      <c r="AB16" s="7">
        <v>0</v>
      </c>
      <c r="AC16" s="4"/>
      <c r="AD16" s="4"/>
      <c r="AE16" s="4" t="s">
        <v>68</v>
      </c>
      <c r="AF16" s="56">
        <v>0.64774624373956591</v>
      </c>
      <c r="AG16" s="56">
        <v>0.35225375626043404</v>
      </c>
      <c r="AH16" s="4">
        <v>2980.9</v>
      </c>
      <c r="AI16" s="4">
        <v>23</v>
      </c>
      <c r="AJ16" s="57">
        <v>5.3</v>
      </c>
      <c r="AK16" s="57">
        <v>4.8</v>
      </c>
      <c r="AL16" s="4">
        <v>487</v>
      </c>
      <c r="AM16" s="4">
        <v>111</v>
      </c>
      <c r="AN16" s="4">
        <v>6</v>
      </c>
      <c r="AO16" s="4">
        <v>17</v>
      </c>
      <c r="AP16" s="58">
        <v>0.18561872909698995</v>
      </c>
      <c r="AQ16" s="58">
        <v>0.41709844559585491</v>
      </c>
      <c r="AR16" s="4">
        <v>225</v>
      </c>
      <c r="AS16" s="4">
        <v>161</v>
      </c>
      <c r="AT16" s="4">
        <v>388</v>
      </c>
      <c r="AU16" s="4">
        <v>0</v>
      </c>
      <c r="AV16" s="4">
        <v>1</v>
      </c>
      <c r="AW16" s="4">
        <v>0</v>
      </c>
      <c r="AX16" s="4">
        <v>1</v>
      </c>
      <c r="AY16" s="58">
        <v>0</v>
      </c>
      <c r="AZ16" s="58">
        <v>6.2111801242236021E-3</v>
      </c>
      <c r="BA16" s="58">
        <v>0</v>
      </c>
      <c r="BB16" s="58">
        <v>6.2111801242236021E-3</v>
      </c>
      <c r="BC16" s="58">
        <v>2.5906735751295338E-3</v>
      </c>
      <c r="BD16" s="4">
        <v>12</v>
      </c>
      <c r="BE16" s="7">
        <v>4</v>
      </c>
      <c r="BF16" s="7">
        <v>8</v>
      </c>
      <c r="BG16" s="4"/>
      <c r="BH16" s="4"/>
      <c r="BI16" s="4" t="s">
        <v>68</v>
      </c>
      <c r="BJ16" s="56">
        <v>0.51919866444073459</v>
      </c>
      <c r="BK16" s="56">
        <v>0.48080133555926546</v>
      </c>
      <c r="BL16" s="4">
        <v>3270.4</v>
      </c>
      <c r="BM16" s="4">
        <v>26</v>
      </c>
      <c r="BN16" s="57">
        <v>4.5999999999999996</v>
      </c>
      <c r="BO16" s="57">
        <v>6.2</v>
      </c>
      <c r="BP16" s="4">
        <v>378</v>
      </c>
      <c r="BQ16" s="4">
        <v>220</v>
      </c>
      <c r="BR16" s="4">
        <v>9</v>
      </c>
      <c r="BS16" s="60">
        <v>39</v>
      </c>
      <c r="BT16" s="58">
        <v>0.36789297658862874</v>
      </c>
      <c r="BU16" s="58">
        <v>0.68181818181818177</v>
      </c>
      <c r="BV16" s="4">
        <v>91</v>
      </c>
      <c r="BW16" s="4">
        <v>195</v>
      </c>
      <c r="BX16" s="4">
        <v>311</v>
      </c>
      <c r="BY16" s="4">
        <v>0</v>
      </c>
      <c r="BZ16" s="4">
        <v>2</v>
      </c>
      <c r="CA16" s="4">
        <v>0</v>
      </c>
      <c r="CB16" s="4">
        <v>1</v>
      </c>
      <c r="CC16" s="58">
        <v>0</v>
      </c>
      <c r="CD16" s="58">
        <v>1.0256410256410256E-2</v>
      </c>
      <c r="CE16" s="58">
        <v>0</v>
      </c>
      <c r="CF16" s="58">
        <v>5.1282051282051282E-3</v>
      </c>
      <c r="CG16" s="58">
        <v>6.993006993006993E-3</v>
      </c>
      <c r="CH16" s="4">
        <v>25</v>
      </c>
      <c r="CI16" s="7">
        <v>8</v>
      </c>
      <c r="CJ16" s="7">
        <v>17</v>
      </c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</row>
    <row r="17" spans="1:494" s="2" customFormat="1" ht="14.25" customHeight="1" x14ac:dyDescent="0.2">
      <c r="A17" s="3" t="s">
        <v>69</v>
      </c>
      <c r="B17" s="38">
        <v>0.70116861435726208</v>
      </c>
      <c r="C17" s="38">
        <v>0.29883138564273792</v>
      </c>
      <c r="D17" s="3">
        <v>2289.5</v>
      </c>
      <c r="E17" s="3">
        <v>22</v>
      </c>
      <c r="F17" s="39">
        <v>3.1</v>
      </c>
      <c r="G17" s="39">
        <v>4.0999999999999996</v>
      </c>
      <c r="H17" s="3">
        <v>534</v>
      </c>
      <c r="I17" s="3">
        <v>64</v>
      </c>
      <c r="J17" s="3">
        <v>0</v>
      </c>
      <c r="K17" s="3">
        <v>91</v>
      </c>
      <c r="L17" s="40">
        <v>0.10702341137123746</v>
      </c>
      <c r="M17" s="40">
        <v>0.23486682808716708</v>
      </c>
      <c r="N17" s="3">
        <v>316</v>
      </c>
      <c r="O17" s="3">
        <v>97</v>
      </c>
      <c r="P17" s="3">
        <v>420</v>
      </c>
      <c r="Q17" s="3">
        <v>0</v>
      </c>
      <c r="R17" s="3">
        <v>1</v>
      </c>
      <c r="S17" s="3">
        <v>0</v>
      </c>
      <c r="T17" s="3">
        <v>1</v>
      </c>
      <c r="U17" s="40">
        <v>0</v>
      </c>
      <c r="V17" s="40">
        <v>1.0309278350515464E-2</v>
      </c>
      <c r="W17" s="40">
        <v>0</v>
      </c>
      <c r="X17" s="40">
        <v>1.0309278350515464E-2</v>
      </c>
      <c r="Y17" s="40">
        <v>2.4213075060532689E-3</v>
      </c>
      <c r="Z17" s="3">
        <v>15</v>
      </c>
      <c r="AA17" s="3">
        <v>8</v>
      </c>
      <c r="AB17" s="3">
        <v>7</v>
      </c>
      <c r="AC17" s="3"/>
      <c r="AD17" s="3"/>
      <c r="AE17" s="3" t="s">
        <v>69</v>
      </c>
      <c r="AF17" s="38">
        <v>0.4958263772954925</v>
      </c>
      <c r="AG17" s="38">
        <v>0.5041736227045075</v>
      </c>
      <c r="AH17" s="3">
        <v>1685.3000000000002</v>
      </c>
      <c r="AI17" s="3">
        <v>21</v>
      </c>
      <c r="AJ17" s="39">
        <v>2.8</v>
      </c>
      <c r="AK17" s="39">
        <v>2.8</v>
      </c>
      <c r="AL17" s="3">
        <v>582</v>
      </c>
      <c r="AM17" s="3">
        <v>16</v>
      </c>
      <c r="AN17" s="3">
        <v>0</v>
      </c>
      <c r="AO17" s="3">
        <v>12</v>
      </c>
      <c r="AP17" s="40">
        <v>2.6755852842809364E-2</v>
      </c>
      <c r="AQ17" s="40">
        <v>0.12457912457912458</v>
      </c>
      <c r="AR17" s="3">
        <v>260</v>
      </c>
      <c r="AS17" s="3">
        <v>37</v>
      </c>
      <c r="AT17" s="3">
        <v>297</v>
      </c>
      <c r="AU17" s="3">
        <v>0</v>
      </c>
      <c r="AV17" s="3">
        <v>0</v>
      </c>
      <c r="AW17" s="3">
        <v>0</v>
      </c>
      <c r="AX17" s="3">
        <v>0</v>
      </c>
      <c r="AY17" s="40">
        <v>0</v>
      </c>
      <c r="AZ17" s="40">
        <v>0</v>
      </c>
      <c r="BA17" s="40">
        <v>0</v>
      </c>
      <c r="BB17" s="40">
        <v>0</v>
      </c>
      <c r="BC17" s="40">
        <v>0</v>
      </c>
      <c r="BD17" s="3">
        <v>0</v>
      </c>
      <c r="BE17" s="3">
        <v>0</v>
      </c>
      <c r="BF17" s="3">
        <v>0</v>
      </c>
      <c r="BG17" s="3"/>
      <c r="BH17" s="3"/>
      <c r="BI17" s="3" t="s">
        <v>69</v>
      </c>
      <c r="BJ17" s="38">
        <v>0.10851419031719532</v>
      </c>
      <c r="BK17" s="38">
        <v>0.89148580968280466</v>
      </c>
      <c r="BL17" s="3">
        <v>756.5</v>
      </c>
      <c r="BM17" s="3">
        <v>5</v>
      </c>
      <c r="BN17" s="39">
        <v>1</v>
      </c>
      <c r="BO17" s="39">
        <v>3.2</v>
      </c>
      <c r="BP17" s="3">
        <v>588</v>
      </c>
      <c r="BQ17" s="3">
        <v>10</v>
      </c>
      <c r="BR17" s="3">
        <v>0</v>
      </c>
      <c r="BS17" s="41">
        <v>5</v>
      </c>
      <c r="BT17" s="40">
        <v>1.6722408026755852E-2</v>
      </c>
      <c r="BU17" s="40">
        <v>1.4925373134328358E-2</v>
      </c>
      <c r="BV17" s="3">
        <v>66</v>
      </c>
      <c r="BW17" s="3">
        <v>1</v>
      </c>
      <c r="BX17" s="3">
        <v>65</v>
      </c>
      <c r="BY17" s="3">
        <v>18</v>
      </c>
      <c r="BZ17" s="3">
        <v>0</v>
      </c>
      <c r="CA17" s="3">
        <v>0</v>
      </c>
      <c r="CB17" s="3">
        <v>0</v>
      </c>
      <c r="CC17" s="40">
        <v>0.27272727272727271</v>
      </c>
      <c r="CD17" s="40">
        <v>0</v>
      </c>
      <c r="CE17" s="40">
        <v>0</v>
      </c>
      <c r="CF17" s="40">
        <v>0</v>
      </c>
      <c r="CG17" s="40">
        <v>0.26865671641791045</v>
      </c>
      <c r="CH17" s="3">
        <v>1</v>
      </c>
      <c r="CI17" s="3">
        <v>0</v>
      </c>
      <c r="CJ17" s="3">
        <v>1</v>
      </c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</row>
    <row r="18" spans="1:494" s="2" customFormat="1" ht="14.25" customHeight="1" x14ac:dyDescent="0.2">
      <c r="A18" s="3" t="s">
        <v>70</v>
      </c>
      <c r="B18" s="38">
        <v>0.51252086811352249</v>
      </c>
      <c r="C18" s="38">
        <v>0.48747913188647746</v>
      </c>
      <c r="D18" s="3">
        <v>1739.3</v>
      </c>
      <c r="E18" s="3">
        <v>21</v>
      </c>
      <c r="F18" s="39">
        <v>2.9</v>
      </c>
      <c r="G18" s="39">
        <v>2.9</v>
      </c>
      <c r="H18" s="3">
        <v>582</v>
      </c>
      <c r="I18" s="3">
        <v>16</v>
      </c>
      <c r="J18" s="3">
        <v>5</v>
      </c>
      <c r="K18" s="3">
        <v>29</v>
      </c>
      <c r="L18" s="40">
        <v>2.6755852842809364E-2</v>
      </c>
      <c r="M18" s="40">
        <v>3.9344262295081971E-2</v>
      </c>
      <c r="N18" s="3">
        <v>293</v>
      </c>
      <c r="O18" s="3">
        <v>12</v>
      </c>
      <c r="P18" s="3">
        <v>307</v>
      </c>
      <c r="Q18" s="3">
        <v>12</v>
      </c>
      <c r="R18" s="3">
        <v>0</v>
      </c>
      <c r="S18" s="3">
        <v>10</v>
      </c>
      <c r="T18" s="3">
        <v>0</v>
      </c>
      <c r="U18" s="40">
        <v>4.0955631399317405E-2</v>
      </c>
      <c r="V18" s="40">
        <v>0</v>
      </c>
      <c r="W18" s="40">
        <v>3.4129692832764506E-2</v>
      </c>
      <c r="X18" s="40">
        <v>0</v>
      </c>
      <c r="Y18" s="40">
        <v>3.9344262295081971E-2</v>
      </c>
      <c r="Z18" s="3">
        <v>4</v>
      </c>
      <c r="AA18" s="3">
        <v>2</v>
      </c>
      <c r="AB18" s="3">
        <v>2</v>
      </c>
      <c r="AC18" s="3"/>
      <c r="AD18" s="3"/>
      <c r="AE18" s="3" t="s">
        <v>70</v>
      </c>
      <c r="AF18" s="38">
        <v>0.50918196994991649</v>
      </c>
      <c r="AG18" s="38">
        <v>0.49081803005008345</v>
      </c>
      <c r="AH18" s="3">
        <v>2195.8000000000002</v>
      </c>
      <c r="AI18" s="3">
        <v>21</v>
      </c>
      <c r="AJ18" s="39">
        <v>2.8</v>
      </c>
      <c r="AK18" s="39">
        <v>4.5</v>
      </c>
      <c r="AL18" s="3">
        <v>526</v>
      </c>
      <c r="AM18" s="3">
        <v>72</v>
      </c>
      <c r="AN18" s="3">
        <v>3</v>
      </c>
      <c r="AO18" s="41">
        <v>78</v>
      </c>
      <c r="AP18" s="40">
        <v>0.12040133779264214</v>
      </c>
      <c r="AQ18" s="40">
        <v>0.20655737704918034</v>
      </c>
      <c r="AR18" s="3">
        <v>242</v>
      </c>
      <c r="AS18" s="3">
        <v>63</v>
      </c>
      <c r="AT18" s="3">
        <v>305</v>
      </c>
      <c r="AU18" s="3">
        <v>0</v>
      </c>
      <c r="AV18" s="3">
        <v>0</v>
      </c>
      <c r="AW18" s="3">
        <v>0</v>
      </c>
      <c r="AX18" s="3">
        <v>0</v>
      </c>
      <c r="AY18" s="40">
        <v>0</v>
      </c>
      <c r="AZ18" s="40">
        <v>0</v>
      </c>
      <c r="BA18" s="40">
        <v>0</v>
      </c>
      <c r="BB18" s="40">
        <v>0</v>
      </c>
      <c r="BC18" s="40">
        <v>0</v>
      </c>
      <c r="BD18" s="3">
        <v>26</v>
      </c>
      <c r="BE18" s="3">
        <v>15</v>
      </c>
      <c r="BF18" s="3">
        <v>11</v>
      </c>
      <c r="BG18" s="3"/>
      <c r="BH18" s="3"/>
      <c r="BI18" s="3" t="s">
        <v>70</v>
      </c>
      <c r="BJ18" s="38">
        <v>0.54924874791318867</v>
      </c>
      <c r="BK18" s="38">
        <v>0.45075125208681133</v>
      </c>
      <c r="BL18" s="3">
        <v>2167.8000000000002</v>
      </c>
      <c r="BM18" s="3">
        <v>30</v>
      </c>
      <c r="BN18" s="39">
        <v>3.5</v>
      </c>
      <c r="BO18" s="39">
        <v>3.7</v>
      </c>
      <c r="BP18" s="3">
        <v>569</v>
      </c>
      <c r="BQ18" s="3">
        <v>29</v>
      </c>
      <c r="BR18" s="3">
        <v>10</v>
      </c>
      <c r="BS18" s="41">
        <v>14</v>
      </c>
      <c r="BT18" s="40">
        <v>4.8494983277591976E-2</v>
      </c>
      <c r="BU18" s="40">
        <v>0.14285714285714285</v>
      </c>
      <c r="BV18" s="3">
        <v>282</v>
      </c>
      <c r="BW18" s="3">
        <v>47</v>
      </c>
      <c r="BX18" s="3">
        <v>329</v>
      </c>
      <c r="BY18" s="3">
        <v>0</v>
      </c>
      <c r="BZ18" s="3">
        <v>0</v>
      </c>
      <c r="CA18" s="3">
        <v>0</v>
      </c>
      <c r="CB18" s="3">
        <v>0</v>
      </c>
      <c r="CC18" s="40">
        <v>0</v>
      </c>
      <c r="CD18" s="40">
        <v>0</v>
      </c>
      <c r="CE18" s="40">
        <v>0</v>
      </c>
      <c r="CF18" s="40">
        <v>0</v>
      </c>
      <c r="CG18" s="40">
        <v>0</v>
      </c>
      <c r="CH18" s="3">
        <v>8</v>
      </c>
      <c r="CI18" s="3">
        <v>6</v>
      </c>
      <c r="CJ18" s="3">
        <v>2</v>
      </c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</row>
    <row r="19" spans="1:494" s="2" customFormat="1" x14ac:dyDescent="0.2">
      <c r="A19" s="3" t="s">
        <v>71</v>
      </c>
      <c r="B19" s="38">
        <v>0.44574290484140233</v>
      </c>
      <c r="C19" s="38">
        <v>0.55425709515859767</v>
      </c>
      <c r="D19" s="3">
        <v>1913</v>
      </c>
      <c r="E19" s="3">
        <v>21</v>
      </c>
      <c r="F19" s="39">
        <v>3.1</v>
      </c>
      <c r="G19" s="39">
        <v>3.4</v>
      </c>
      <c r="H19" s="3">
        <v>552</v>
      </c>
      <c r="I19" s="3">
        <v>46</v>
      </c>
      <c r="J19" s="3">
        <v>0</v>
      </c>
      <c r="K19" s="41">
        <v>2</v>
      </c>
      <c r="L19" s="40">
        <v>7.6923076923076927E-2</v>
      </c>
      <c r="M19" s="40">
        <v>0.10465116279069768</v>
      </c>
      <c r="N19" s="3">
        <v>231</v>
      </c>
      <c r="O19" s="3">
        <v>27</v>
      </c>
      <c r="P19" s="3">
        <v>267</v>
      </c>
      <c r="Q19" s="3">
        <v>22</v>
      </c>
      <c r="R19" s="3">
        <v>0</v>
      </c>
      <c r="S19" s="3">
        <v>22</v>
      </c>
      <c r="T19" s="3">
        <v>0</v>
      </c>
      <c r="U19" s="40">
        <v>9.5238095238095233E-2</v>
      </c>
      <c r="V19" s="40">
        <v>0</v>
      </c>
      <c r="W19" s="40">
        <v>9.5238095238095233E-2</v>
      </c>
      <c r="X19" s="40">
        <v>0</v>
      </c>
      <c r="Y19" s="40">
        <v>8.5271317829457363E-2</v>
      </c>
      <c r="Z19" s="3">
        <v>1</v>
      </c>
      <c r="AA19" s="3">
        <v>1</v>
      </c>
      <c r="AB19" s="3">
        <v>0</v>
      </c>
      <c r="AC19" s="3"/>
      <c r="AD19" s="3"/>
      <c r="AE19" s="3" t="s">
        <v>71</v>
      </c>
      <c r="AF19" s="38">
        <v>0.58263772954924875</v>
      </c>
      <c r="AG19" s="38">
        <v>0.41736227045075125</v>
      </c>
      <c r="AH19" s="3">
        <v>1692.8</v>
      </c>
      <c r="AI19" s="3">
        <v>22</v>
      </c>
      <c r="AJ19" s="39">
        <v>2.9</v>
      </c>
      <c r="AK19" s="39">
        <v>2.8</v>
      </c>
      <c r="AL19" s="3">
        <v>576</v>
      </c>
      <c r="AM19" s="3">
        <v>22</v>
      </c>
      <c r="AN19" s="3">
        <v>0</v>
      </c>
      <c r="AO19" s="41">
        <v>46</v>
      </c>
      <c r="AP19" s="40">
        <v>3.678929765886288E-2</v>
      </c>
      <c r="AQ19" s="40">
        <v>0.13142857142857142</v>
      </c>
      <c r="AR19" s="3">
        <v>304</v>
      </c>
      <c r="AS19" s="3">
        <v>46</v>
      </c>
      <c r="AT19" s="3">
        <v>349</v>
      </c>
      <c r="AU19" s="3">
        <v>0</v>
      </c>
      <c r="AV19" s="3">
        <v>0</v>
      </c>
      <c r="AW19" s="3">
        <v>0</v>
      </c>
      <c r="AX19" s="3">
        <v>0</v>
      </c>
      <c r="AY19" s="40">
        <v>0</v>
      </c>
      <c r="AZ19" s="40">
        <v>0</v>
      </c>
      <c r="BA19" s="40">
        <v>0</v>
      </c>
      <c r="BB19" s="40">
        <v>0</v>
      </c>
      <c r="BC19" s="40">
        <v>0</v>
      </c>
      <c r="BD19" s="3">
        <v>2</v>
      </c>
      <c r="BE19" s="3">
        <v>1</v>
      </c>
      <c r="BF19" s="3">
        <v>1</v>
      </c>
      <c r="BG19" s="3"/>
      <c r="BH19" s="3"/>
      <c r="BI19" s="3" t="s">
        <v>71</v>
      </c>
      <c r="BJ19" s="38">
        <v>0.30217028380634392</v>
      </c>
      <c r="BK19" s="38">
        <v>0.69782971619365608</v>
      </c>
      <c r="BL19" s="3">
        <v>1006.8</v>
      </c>
      <c r="BM19" s="3">
        <v>6</v>
      </c>
      <c r="BN19" s="39">
        <v>1.3</v>
      </c>
      <c r="BO19" s="39">
        <v>2.6</v>
      </c>
      <c r="BP19" s="3">
        <v>500</v>
      </c>
      <c r="BQ19" s="3">
        <v>98</v>
      </c>
      <c r="BR19" s="3">
        <v>0</v>
      </c>
      <c r="BS19" s="3">
        <v>44</v>
      </c>
      <c r="BT19" s="40">
        <v>0.16387959866220736</v>
      </c>
      <c r="BU19" s="40">
        <v>0.61142857142857143</v>
      </c>
      <c r="BV19" s="3">
        <v>68</v>
      </c>
      <c r="BW19" s="3">
        <v>107</v>
      </c>
      <c r="BX19" s="3">
        <v>181</v>
      </c>
      <c r="BY19" s="3">
        <v>13</v>
      </c>
      <c r="BZ19" s="3">
        <v>12</v>
      </c>
      <c r="CA19" s="3">
        <v>0</v>
      </c>
      <c r="CB19" s="3">
        <v>8</v>
      </c>
      <c r="CC19" s="40">
        <v>0.19117647058823528</v>
      </c>
      <c r="CD19" s="40">
        <v>0.11214953271028037</v>
      </c>
      <c r="CE19" s="40">
        <v>0</v>
      </c>
      <c r="CF19" s="40">
        <v>7.476635514018691E-2</v>
      </c>
      <c r="CG19" s="40">
        <v>0.14285714285714285</v>
      </c>
      <c r="CH19" s="3">
        <v>2</v>
      </c>
      <c r="CI19" s="3">
        <v>1</v>
      </c>
      <c r="CJ19" s="3">
        <v>1</v>
      </c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</row>
    <row r="20" spans="1:494" s="2" customFormat="1" x14ac:dyDescent="0.2">
      <c r="A20" s="3" t="s">
        <v>66</v>
      </c>
      <c r="B20" s="38">
        <v>0.33211678832116787</v>
      </c>
      <c r="C20" s="38">
        <v>0.66788321167883213</v>
      </c>
      <c r="D20" s="3">
        <v>962.09999999999991</v>
      </c>
      <c r="E20" s="3">
        <v>8</v>
      </c>
      <c r="F20" s="39">
        <v>1.8</v>
      </c>
      <c r="G20" s="39">
        <v>1.6</v>
      </c>
      <c r="H20" s="3">
        <v>369</v>
      </c>
      <c r="I20" s="3">
        <v>229</v>
      </c>
      <c r="J20" s="3">
        <v>0</v>
      </c>
      <c r="K20" s="3">
        <v>185</v>
      </c>
      <c r="L20" s="40">
        <v>0.38294314381270905</v>
      </c>
      <c r="M20" s="40">
        <v>0.31428571428571428</v>
      </c>
      <c r="N20" s="3">
        <v>96</v>
      </c>
      <c r="O20" s="3">
        <v>44</v>
      </c>
      <c r="P20" s="3">
        <v>182</v>
      </c>
      <c r="Q20" s="3">
        <v>1</v>
      </c>
      <c r="R20" s="3">
        <v>1</v>
      </c>
      <c r="S20" s="3">
        <v>1</v>
      </c>
      <c r="T20" s="3">
        <v>1</v>
      </c>
      <c r="U20" s="40">
        <v>1.0416666666666666E-2</v>
      </c>
      <c r="V20" s="40">
        <v>2.2727272727272728E-2</v>
      </c>
      <c r="W20" s="40">
        <v>1.0416666666666666E-2</v>
      </c>
      <c r="X20" s="40">
        <v>2.2727272727272728E-2</v>
      </c>
      <c r="Y20" s="40">
        <v>1.4285714285714285E-2</v>
      </c>
      <c r="Z20" s="3">
        <v>0</v>
      </c>
      <c r="AA20" s="3">
        <v>0</v>
      </c>
      <c r="AB20" s="3">
        <v>0</v>
      </c>
      <c r="AC20" s="3"/>
      <c r="AD20" s="3"/>
      <c r="AE20" s="3" t="s">
        <v>66</v>
      </c>
      <c r="AF20" s="38">
        <v>0.74080267558528423</v>
      </c>
      <c r="AG20" s="38">
        <v>0.25919732441471571</v>
      </c>
      <c r="AH20" s="3">
        <v>1006.3</v>
      </c>
      <c r="AI20" s="3">
        <v>11</v>
      </c>
      <c r="AJ20" s="39">
        <v>2.1</v>
      </c>
      <c r="AK20" s="39">
        <v>1.6</v>
      </c>
      <c r="AL20" s="3">
        <v>470</v>
      </c>
      <c r="AM20" s="3">
        <v>128</v>
      </c>
      <c r="AN20" s="3">
        <v>0</v>
      </c>
      <c r="AO20" s="3">
        <v>4</v>
      </c>
      <c r="AP20" s="40">
        <v>0.21404682274247491</v>
      </c>
      <c r="AQ20" s="40">
        <v>0.45011600928074247</v>
      </c>
      <c r="AR20" s="3">
        <v>237</v>
      </c>
      <c r="AS20" s="3">
        <v>194</v>
      </c>
      <c r="AT20" s="3">
        <v>443</v>
      </c>
      <c r="AU20" s="3">
        <v>49</v>
      </c>
      <c r="AV20" s="3">
        <v>35</v>
      </c>
      <c r="AW20" s="3">
        <v>25</v>
      </c>
      <c r="AX20" s="3">
        <v>9</v>
      </c>
      <c r="AY20" s="40">
        <v>0.20675105485232068</v>
      </c>
      <c r="AZ20" s="40">
        <v>0.18041237113402062</v>
      </c>
      <c r="BA20" s="40">
        <v>0.10548523206751055</v>
      </c>
      <c r="BB20" s="40">
        <v>4.6391752577319589E-2</v>
      </c>
      <c r="BC20" s="40">
        <v>0.19489559164733178</v>
      </c>
      <c r="BD20" s="3">
        <v>3</v>
      </c>
      <c r="BE20" s="3">
        <v>3</v>
      </c>
      <c r="BF20" s="3">
        <v>0</v>
      </c>
      <c r="BG20" s="3"/>
      <c r="BH20" s="3"/>
      <c r="BI20" s="3" t="s">
        <v>66</v>
      </c>
      <c r="BJ20" s="38">
        <v>0.50668896321070234</v>
      </c>
      <c r="BK20" s="38">
        <v>0.49331103678929766</v>
      </c>
      <c r="BL20" s="3">
        <v>1324.4</v>
      </c>
      <c r="BM20" s="3">
        <v>12</v>
      </c>
      <c r="BN20" s="39">
        <v>2.5</v>
      </c>
      <c r="BO20" s="39">
        <v>1.9</v>
      </c>
      <c r="BP20" s="3">
        <v>565</v>
      </c>
      <c r="BQ20" s="3">
        <v>33</v>
      </c>
      <c r="BR20" s="3">
        <v>0</v>
      </c>
      <c r="BS20" s="41">
        <v>19</v>
      </c>
      <c r="BT20" s="40">
        <v>5.5183946488294312E-2</v>
      </c>
      <c r="BU20" s="40">
        <v>0.12040133779264214</v>
      </c>
      <c r="BV20" s="3">
        <v>263</v>
      </c>
      <c r="BW20" s="3">
        <v>36</v>
      </c>
      <c r="BX20" s="3">
        <v>303</v>
      </c>
      <c r="BY20" s="3">
        <v>118</v>
      </c>
      <c r="BZ20" s="3">
        <v>3</v>
      </c>
      <c r="CA20" s="3">
        <v>78</v>
      </c>
      <c r="CB20" s="3">
        <v>1</v>
      </c>
      <c r="CC20" s="40">
        <v>0.44866920152091255</v>
      </c>
      <c r="CD20" s="40">
        <v>8.3333333333333329E-2</v>
      </c>
      <c r="CE20" s="40">
        <v>0.29657794676806082</v>
      </c>
      <c r="CF20" s="40">
        <v>2.7777777777777776E-2</v>
      </c>
      <c r="CG20" s="40">
        <v>0.40468227424749165</v>
      </c>
      <c r="CH20" s="3">
        <v>7</v>
      </c>
      <c r="CI20" s="3">
        <v>5</v>
      </c>
      <c r="CJ20" s="3">
        <v>2</v>
      </c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</row>
    <row r="21" spans="1:494" s="2" customFormat="1" x14ac:dyDescent="0.2">
      <c r="A21" s="3" t="s">
        <v>67</v>
      </c>
      <c r="B21" s="38">
        <v>0.54257095158597668</v>
      </c>
      <c r="C21" s="38">
        <v>0.45742904841402338</v>
      </c>
      <c r="D21" s="3">
        <v>2402.3000000000002</v>
      </c>
      <c r="E21" s="3">
        <v>22</v>
      </c>
      <c r="F21" s="39">
        <v>3.6</v>
      </c>
      <c r="G21" s="39">
        <v>4.3</v>
      </c>
      <c r="H21" s="3">
        <v>429</v>
      </c>
      <c r="I21" s="3">
        <v>169</v>
      </c>
      <c r="J21" s="3">
        <v>4</v>
      </c>
      <c r="K21" s="3">
        <v>7</v>
      </c>
      <c r="L21" s="40">
        <v>0.28260869565217389</v>
      </c>
      <c r="M21" s="40">
        <v>0.52160493827160492</v>
      </c>
      <c r="N21" s="3">
        <v>155</v>
      </c>
      <c r="O21" s="3">
        <v>169</v>
      </c>
      <c r="P21" s="3">
        <v>325</v>
      </c>
      <c r="Q21" s="3">
        <v>0</v>
      </c>
      <c r="R21" s="3">
        <v>0</v>
      </c>
      <c r="S21" s="3">
        <v>0</v>
      </c>
      <c r="T21" s="3">
        <v>0</v>
      </c>
      <c r="U21" s="40">
        <v>0</v>
      </c>
      <c r="V21" s="40">
        <v>0</v>
      </c>
      <c r="W21" s="40">
        <v>0</v>
      </c>
      <c r="X21" s="40">
        <v>0</v>
      </c>
      <c r="Y21" s="40">
        <v>0</v>
      </c>
      <c r="Z21" s="3">
        <v>13</v>
      </c>
      <c r="AA21" s="3">
        <v>6</v>
      </c>
      <c r="AB21" s="3">
        <v>7</v>
      </c>
      <c r="AC21" s="3"/>
      <c r="AD21" s="3"/>
      <c r="AE21" s="3" t="s">
        <v>67</v>
      </c>
      <c r="AF21" s="38">
        <v>0.68288590604026844</v>
      </c>
      <c r="AG21" s="42">
        <v>0.31711409395973156</v>
      </c>
      <c r="AH21" s="3">
        <v>4055.5</v>
      </c>
      <c r="AI21" s="3">
        <v>46</v>
      </c>
      <c r="AJ21" s="39">
        <v>8.1</v>
      </c>
      <c r="AK21" s="39">
        <v>6.2</v>
      </c>
      <c r="AL21" s="3">
        <v>96</v>
      </c>
      <c r="AM21" s="3">
        <v>502</v>
      </c>
      <c r="AN21" s="3">
        <v>4</v>
      </c>
      <c r="AO21" s="3">
        <v>21</v>
      </c>
      <c r="AP21" s="40">
        <v>0.83946488294314381</v>
      </c>
      <c r="AQ21" s="40">
        <v>0.78061224489795922</v>
      </c>
      <c r="AR21" s="3">
        <v>43</v>
      </c>
      <c r="AS21" s="3">
        <v>153</v>
      </c>
      <c r="AT21" s="3">
        <v>407</v>
      </c>
      <c r="AU21" s="3">
        <v>0</v>
      </c>
      <c r="AV21" s="11">
        <v>2</v>
      </c>
      <c r="AW21" s="3">
        <v>0</v>
      </c>
      <c r="AX21" s="3">
        <v>1</v>
      </c>
      <c r="AY21" s="40">
        <v>0</v>
      </c>
      <c r="AZ21" s="40">
        <v>1.3071895424836602E-2</v>
      </c>
      <c r="BA21" s="40">
        <v>0</v>
      </c>
      <c r="BB21" s="40">
        <v>6.5359477124183009E-3</v>
      </c>
      <c r="BC21" s="40">
        <v>1.020408163265306E-2</v>
      </c>
      <c r="BD21" s="3">
        <v>13</v>
      </c>
      <c r="BE21" s="3">
        <v>9</v>
      </c>
      <c r="BF21" s="3">
        <v>4</v>
      </c>
      <c r="BG21" s="3"/>
      <c r="BH21" s="3"/>
      <c r="BI21" s="3" t="s">
        <v>67</v>
      </c>
      <c r="BJ21" s="38">
        <v>0.41923774954627951</v>
      </c>
      <c r="BK21" s="38">
        <v>0.58076225045372054</v>
      </c>
      <c r="BL21" s="3">
        <v>499.90000000000003</v>
      </c>
      <c r="BM21" s="3">
        <v>5</v>
      </c>
      <c r="BN21" s="39">
        <v>0.8</v>
      </c>
      <c r="BO21" s="39">
        <v>1</v>
      </c>
      <c r="BP21" s="3">
        <v>180</v>
      </c>
      <c r="BQ21" s="3">
        <v>418</v>
      </c>
      <c r="BR21" s="3">
        <v>2</v>
      </c>
      <c r="BS21" s="3">
        <v>53</v>
      </c>
      <c r="BT21" s="40">
        <v>0.69899665551839463</v>
      </c>
      <c r="BU21" s="40">
        <v>0.625</v>
      </c>
      <c r="BV21" s="3">
        <v>84</v>
      </c>
      <c r="BW21" s="3">
        <v>140</v>
      </c>
      <c r="BX21" s="3">
        <v>231</v>
      </c>
      <c r="BY21" s="3">
        <v>4</v>
      </c>
      <c r="BZ21" s="3">
        <v>57</v>
      </c>
      <c r="CA21" s="3">
        <v>4</v>
      </c>
      <c r="CB21" s="3">
        <v>5</v>
      </c>
      <c r="CC21" s="40">
        <v>4.7619047619047616E-2</v>
      </c>
      <c r="CD21" s="40">
        <v>0.40714285714285714</v>
      </c>
      <c r="CE21" s="40">
        <v>4.7619047619047616E-2</v>
      </c>
      <c r="CF21" s="40">
        <v>3.5714285714285712E-2</v>
      </c>
      <c r="CG21" s="40">
        <v>0.27232142857142855</v>
      </c>
      <c r="CH21" s="3">
        <v>1</v>
      </c>
      <c r="CI21" s="3">
        <v>0</v>
      </c>
      <c r="CJ21" s="3">
        <v>1</v>
      </c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</row>
    <row r="22" spans="1:494" s="2" customFormat="1" x14ac:dyDescent="0.2">
      <c r="A22" s="3" t="s">
        <v>68</v>
      </c>
      <c r="B22" s="38">
        <v>0.94475138121546964</v>
      </c>
      <c r="C22" s="38">
        <v>5.5248618784530384E-2</v>
      </c>
      <c r="D22" s="3">
        <v>229.9</v>
      </c>
      <c r="E22" s="3">
        <v>0</v>
      </c>
      <c r="F22" s="39">
        <v>1.9</v>
      </c>
      <c r="G22" s="39">
        <v>0.6</v>
      </c>
      <c r="H22" s="3">
        <v>97</v>
      </c>
      <c r="I22" s="3">
        <v>501</v>
      </c>
      <c r="J22" s="3">
        <v>0</v>
      </c>
      <c r="K22" s="3"/>
      <c r="L22" s="40">
        <v>0.83779264214046822</v>
      </c>
      <c r="M22" s="40">
        <v>0.36641221374045801</v>
      </c>
      <c r="N22" s="3">
        <v>83</v>
      </c>
      <c r="O22" s="3">
        <v>48</v>
      </c>
      <c r="P22" s="3">
        <v>342</v>
      </c>
      <c r="Q22" s="3">
        <v>0</v>
      </c>
      <c r="R22" s="3">
        <v>0</v>
      </c>
      <c r="S22" s="3">
        <v>0</v>
      </c>
      <c r="T22" s="3">
        <v>0</v>
      </c>
      <c r="U22" s="40">
        <v>0</v>
      </c>
      <c r="V22" s="40">
        <v>0</v>
      </c>
      <c r="W22" s="40">
        <v>0</v>
      </c>
      <c r="X22" s="40">
        <v>0</v>
      </c>
      <c r="Y22" s="40">
        <v>0</v>
      </c>
      <c r="Z22" s="3">
        <v>0</v>
      </c>
      <c r="AA22" s="3">
        <v>0</v>
      </c>
      <c r="AB22" s="3">
        <v>0</v>
      </c>
      <c r="AC22" s="3"/>
      <c r="AD22" s="3"/>
      <c r="AE22" s="3" t="s">
        <v>68</v>
      </c>
      <c r="AF22" s="38">
        <v>0.61769616026711183</v>
      </c>
      <c r="AG22" s="38">
        <v>0.38230383973288817</v>
      </c>
      <c r="AH22" s="3">
        <v>2712.7</v>
      </c>
      <c r="AI22" s="3">
        <v>22</v>
      </c>
      <c r="AJ22" s="39">
        <v>4.3</v>
      </c>
      <c r="AK22" s="39">
        <v>4.7</v>
      </c>
      <c r="AL22" s="3">
        <v>364</v>
      </c>
      <c r="AM22" s="3">
        <v>234</v>
      </c>
      <c r="AN22" s="3">
        <v>0</v>
      </c>
      <c r="AO22" s="41">
        <v>20</v>
      </c>
      <c r="AP22" s="40">
        <v>0.39130434782608697</v>
      </c>
      <c r="AQ22" s="40">
        <v>0.6402439024390244</v>
      </c>
      <c r="AR22" s="3">
        <v>118</v>
      </c>
      <c r="AS22" s="3">
        <v>210</v>
      </c>
      <c r="AT22" s="3">
        <v>370</v>
      </c>
      <c r="AU22" s="3">
        <v>4</v>
      </c>
      <c r="AV22" s="3">
        <v>0</v>
      </c>
      <c r="AW22" s="3">
        <v>4</v>
      </c>
      <c r="AX22" s="3">
        <v>0</v>
      </c>
      <c r="AY22" s="40">
        <v>3.3898305084745763E-2</v>
      </c>
      <c r="AZ22" s="40">
        <v>0</v>
      </c>
      <c r="BA22" s="40">
        <v>3.3898305084745763E-2</v>
      </c>
      <c r="BB22" s="40">
        <v>0</v>
      </c>
      <c r="BC22" s="40">
        <v>1.2195121951219513E-2</v>
      </c>
      <c r="BD22" s="3">
        <v>17</v>
      </c>
      <c r="BE22" s="3">
        <v>6</v>
      </c>
      <c r="BF22" s="3">
        <v>11</v>
      </c>
      <c r="BG22" s="3"/>
      <c r="BH22" s="3"/>
      <c r="BI22" s="3" t="s">
        <v>68</v>
      </c>
      <c r="BJ22" s="38">
        <v>0.30849220103986136</v>
      </c>
      <c r="BK22" s="38">
        <v>0.6915077989601387</v>
      </c>
      <c r="BL22" s="3">
        <v>1504.8</v>
      </c>
      <c r="BM22" s="3">
        <v>10</v>
      </c>
      <c r="BN22" s="39">
        <v>2</v>
      </c>
      <c r="BO22" s="39">
        <v>3.9</v>
      </c>
      <c r="BP22" s="3">
        <v>365</v>
      </c>
      <c r="BQ22" s="3">
        <v>233</v>
      </c>
      <c r="BR22" s="3">
        <v>6</v>
      </c>
      <c r="BS22" s="41">
        <v>6</v>
      </c>
      <c r="BT22" s="40">
        <v>0.38963210702341139</v>
      </c>
      <c r="BU22" s="40">
        <v>0.96571428571428575</v>
      </c>
      <c r="BV22" s="3">
        <v>6</v>
      </c>
      <c r="BW22" s="3">
        <v>169</v>
      </c>
      <c r="BX22" s="3">
        <v>178</v>
      </c>
      <c r="BY22" s="3">
        <v>0</v>
      </c>
      <c r="BZ22" s="3">
        <v>12</v>
      </c>
      <c r="CA22" s="3">
        <v>0</v>
      </c>
      <c r="CB22" s="3">
        <v>3</v>
      </c>
      <c r="CC22" s="40">
        <v>0</v>
      </c>
      <c r="CD22" s="40">
        <v>7.1005917159763315E-2</v>
      </c>
      <c r="CE22" s="40">
        <v>0</v>
      </c>
      <c r="CF22" s="40">
        <v>1.7751479289940829E-2</v>
      </c>
      <c r="CG22" s="40">
        <v>6.8571428571428575E-2</v>
      </c>
      <c r="CH22" s="3">
        <v>13</v>
      </c>
      <c r="CI22" s="3">
        <v>1</v>
      </c>
      <c r="CJ22" s="3">
        <v>12</v>
      </c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</row>
    <row r="23" spans="1:494" s="2" customFormat="1" x14ac:dyDescent="0.2">
      <c r="A23" s="3" t="s">
        <v>69</v>
      </c>
      <c r="B23" s="38">
        <v>0.4240400667779633</v>
      </c>
      <c r="C23" s="38">
        <v>0.57595993322203676</v>
      </c>
      <c r="D23" s="19">
        <v>1229.4000000000001</v>
      </c>
      <c r="E23" s="19">
        <v>11</v>
      </c>
      <c r="F23" s="54">
        <v>1.9</v>
      </c>
      <c r="G23" s="39">
        <v>2.2000000000000002</v>
      </c>
      <c r="H23" s="3">
        <v>377</v>
      </c>
      <c r="I23" s="3">
        <v>221</v>
      </c>
      <c r="J23" s="3">
        <v>0</v>
      </c>
      <c r="K23" s="3">
        <v>23</v>
      </c>
      <c r="L23" s="40">
        <v>0.36956521739130432</v>
      </c>
      <c r="M23" s="40">
        <v>0.52</v>
      </c>
      <c r="N23" s="3">
        <v>120</v>
      </c>
      <c r="O23" s="3">
        <v>130</v>
      </c>
      <c r="P23" s="3">
        <v>254</v>
      </c>
      <c r="Q23" s="3">
        <v>19</v>
      </c>
      <c r="R23" s="3">
        <v>2</v>
      </c>
      <c r="S23" s="3">
        <v>19</v>
      </c>
      <c r="T23" s="3">
        <v>1</v>
      </c>
      <c r="U23" s="40">
        <v>0.15833333333333333</v>
      </c>
      <c r="V23" s="40">
        <v>1.5384615384615385E-2</v>
      </c>
      <c r="W23" s="40">
        <v>0.15833333333333333</v>
      </c>
      <c r="X23" s="40">
        <v>7.6923076923076927E-3</v>
      </c>
      <c r="Y23" s="40">
        <v>8.4000000000000005E-2</v>
      </c>
      <c r="Z23" s="3">
        <v>1</v>
      </c>
      <c r="AA23" s="3">
        <v>0</v>
      </c>
      <c r="AB23" s="3">
        <v>1</v>
      </c>
      <c r="AC23" s="3"/>
      <c r="AD23" s="3"/>
      <c r="AE23" s="3" t="s">
        <v>69</v>
      </c>
      <c r="AF23" s="38">
        <v>0.71495327102803741</v>
      </c>
      <c r="AG23" s="38">
        <v>0.28504672897196259</v>
      </c>
      <c r="AH23" s="3">
        <v>179.5</v>
      </c>
      <c r="AI23" s="3">
        <v>2</v>
      </c>
      <c r="AJ23" s="39">
        <v>0.3</v>
      </c>
      <c r="AK23" s="39">
        <v>0.5</v>
      </c>
      <c r="AL23" s="3">
        <v>20</v>
      </c>
      <c r="AM23" s="3">
        <v>578</v>
      </c>
      <c r="AN23" s="3">
        <v>0</v>
      </c>
      <c r="AO23" s="3">
        <v>179</v>
      </c>
      <c r="AP23" s="40">
        <v>0.96655518394648832</v>
      </c>
      <c r="AQ23" s="40">
        <v>0.8902439024390244</v>
      </c>
      <c r="AR23" s="3">
        <v>18</v>
      </c>
      <c r="AS23" s="3">
        <v>146</v>
      </c>
      <c r="AT23" s="3">
        <v>306</v>
      </c>
      <c r="AU23" s="3">
        <v>0</v>
      </c>
      <c r="AV23" s="3">
        <v>50</v>
      </c>
      <c r="AW23" s="3">
        <v>0</v>
      </c>
      <c r="AX23" s="3">
        <v>13</v>
      </c>
      <c r="AY23" s="40">
        <v>0</v>
      </c>
      <c r="AZ23" s="40">
        <v>0.34246575342465752</v>
      </c>
      <c r="BA23" s="40">
        <v>0</v>
      </c>
      <c r="BB23" s="40">
        <v>8.9041095890410954E-2</v>
      </c>
      <c r="BC23" s="40">
        <v>0.3048780487804878</v>
      </c>
      <c r="BD23" s="3">
        <v>0</v>
      </c>
      <c r="BE23" s="3">
        <v>0</v>
      </c>
      <c r="BF23" s="3">
        <v>0</v>
      </c>
      <c r="BG23" s="3"/>
      <c r="BH23" s="3"/>
      <c r="BI23" s="3" t="s">
        <v>69</v>
      </c>
      <c r="BJ23" s="38">
        <v>0.55555555555555558</v>
      </c>
      <c r="BK23" s="38">
        <v>0.44444444444444442</v>
      </c>
      <c r="BL23" s="3">
        <v>114.5</v>
      </c>
      <c r="BM23" s="3">
        <v>1</v>
      </c>
      <c r="BN23" s="39">
        <v>0.5</v>
      </c>
      <c r="BO23" s="39">
        <v>2.9</v>
      </c>
      <c r="BP23" s="3">
        <v>53</v>
      </c>
      <c r="BQ23" s="3">
        <v>545</v>
      </c>
      <c r="BR23" s="3">
        <v>0</v>
      </c>
      <c r="BS23" s="3">
        <v>126</v>
      </c>
      <c r="BT23" s="40">
        <v>0.91137123745819393</v>
      </c>
      <c r="BU23" s="40">
        <v>0.5161290322580645</v>
      </c>
      <c r="BV23" s="3">
        <v>15</v>
      </c>
      <c r="BW23" s="3">
        <v>16</v>
      </c>
      <c r="BX23" s="3">
        <v>35</v>
      </c>
      <c r="BY23" s="3">
        <v>0</v>
      </c>
      <c r="BZ23" s="3">
        <v>0</v>
      </c>
      <c r="CA23" s="3">
        <v>0</v>
      </c>
      <c r="CB23" s="3">
        <v>0</v>
      </c>
      <c r="CC23" s="40">
        <v>0</v>
      </c>
      <c r="CD23" s="40">
        <v>0</v>
      </c>
      <c r="CE23" s="40">
        <v>0</v>
      </c>
      <c r="CF23" s="40">
        <v>0</v>
      </c>
      <c r="CG23" s="40">
        <v>0</v>
      </c>
      <c r="CH23" s="3">
        <v>0</v>
      </c>
      <c r="CI23" s="3">
        <v>0</v>
      </c>
      <c r="CJ23" s="3">
        <v>0</v>
      </c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</row>
    <row r="24" spans="1:494" s="2" customFormat="1" x14ac:dyDescent="0.2">
      <c r="A24" s="3" t="s">
        <v>70</v>
      </c>
      <c r="B24" s="38">
        <v>0.43405676126878129</v>
      </c>
      <c r="C24" s="38">
        <v>0.56594323873121866</v>
      </c>
      <c r="D24" s="19">
        <v>1269</v>
      </c>
      <c r="E24" s="19">
        <v>17</v>
      </c>
      <c r="F24" s="54">
        <v>2.1</v>
      </c>
      <c r="G24" s="39">
        <v>2.2000000000000002</v>
      </c>
      <c r="H24" s="3">
        <v>545</v>
      </c>
      <c r="I24" s="3">
        <v>53</v>
      </c>
      <c r="J24" s="3">
        <v>0</v>
      </c>
      <c r="K24" s="41">
        <v>65</v>
      </c>
      <c r="L24" s="40">
        <v>8.8628762541806017E-2</v>
      </c>
      <c r="M24" s="40">
        <v>0.12307692307692308</v>
      </c>
      <c r="N24" s="3">
        <v>228</v>
      </c>
      <c r="O24" s="3">
        <v>32</v>
      </c>
      <c r="P24" s="3">
        <v>260</v>
      </c>
      <c r="Q24" s="3">
        <v>11</v>
      </c>
      <c r="R24" s="3">
        <v>0</v>
      </c>
      <c r="S24" s="3">
        <v>8</v>
      </c>
      <c r="T24" s="3">
        <v>0</v>
      </c>
      <c r="U24" s="40">
        <v>4.8245614035087717E-2</v>
      </c>
      <c r="V24" s="40">
        <v>0</v>
      </c>
      <c r="W24" s="40">
        <v>3.5087719298245612E-2</v>
      </c>
      <c r="X24" s="40">
        <v>0</v>
      </c>
      <c r="Y24" s="40">
        <v>4.230769230769231E-2</v>
      </c>
      <c r="Z24" s="3">
        <v>0</v>
      </c>
      <c r="AA24" s="3">
        <v>0</v>
      </c>
      <c r="AB24" s="3">
        <v>0</v>
      </c>
      <c r="AC24" s="3"/>
      <c r="AD24" s="3"/>
      <c r="AE24" s="3" t="s">
        <v>70</v>
      </c>
      <c r="AF24" s="38">
        <v>0.51085141903171949</v>
      </c>
      <c r="AG24" s="38">
        <v>0.48914858096828046</v>
      </c>
      <c r="AH24" s="3">
        <v>2510.5</v>
      </c>
      <c r="AI24" s="3">
        <v>32</v>
      </c>
      <c r="AJ24" s="39">
        <v>4.0999999999999996</v>
      </c>
      <c r="AK24" s="39">
        <v>4.2</v>
      </c>
      <c r="AL24" s="3">
        <v>571</v>
      </c>
      <c r="AM24" s="3">
        <v>27</v>
      </c>
      <c r="AN24" s="3">
        <v>9</v>
      </c>
      <c r="AO24" s="41">
        <v>15</v>
      </c>
      <c r="AP24" s="40">
        <v>4.51505016722408E-2</v>
      </c>
      <c r="AQ24" s="40">
        <v>7.5409836065573776E-2</v>
      </c>
      <c r="AR24" s="3">
        <v>282</v>
      </c>
      <c r="AS24" s="3">
        <v>23</v>
      </c>
      <c r="AT24" s="3">
        <v>306</v>
      </c>
      <c r="AU24" s="3">
        <v>0</v>
      </c>
      <c r="AV24" s="3">
        <v>0</v>
      </c>
      <c r="AW24" s="3">
        <v>0</v>
      </c>
      <c r="AX24" s="3">
        <v>0</v>
      </c>
      <c r="AY24" s="40">
        <v>0</v>
      </c>
      <c r="AZ24" s="40">
        <v>0</v>
      </c>
      <c r="BA24" s="40">
        <v>0</v>
      </c>
      <c r="BB24" s="40">
        <v>0</v>
      </c>
      <c r="BC24" s="40">
        <v>0</v>
      </c>
      <c r="BD24" s="3">
        <v>5</v>
      </c>
      <c r="BE24" s="3">
        <v>2</v>
      </c>
      <c r="BF24" s="3">
        <v>3</v>
      </c>
      <c r="BG24" s="3"/>
      <c r="BH24" s="3"/>
      <c r="BI24" s="3" t="s">
        <v>70</v>
      </c>
      <c r="BJ24" s="38">
        <v>0.31133671742808799</v>
      </c>
      <c r="BK24" s="38">
        <v>0.68866328257191201</v>
      </c>
      <c r="BL24" s="3">
        <v>1905.4</v>
      </c>
      <c r="BM24" s="3">
        <v>20</v>
      </c>
      <c r="BN24" s="39">
        <v>2.1</v>
      </c>
      <c r="BO24" s="39">
        <v>5.7</v>
      </c>
      <c r="BP24" s="3">
        <v>419</v>
      </c>
      <c r="BQ24" s="3">
        <v>179</v>
      </c>
      <c r="BR24" s="3">
        <v>3</v>
      </c>
      <c r="BS24" s="3">
        <v>5</v>
      </c>
      <c r="BT24" s="40">
        <v>0.29933110367892979</v>
      </c>
      <c r="BU24" s="40">
        <v>0.45664739884393063</v>
      </c>
      <c r="BV24" s="3">
        <v>94</v>
      </c>
      <c r="BW24" s="3">
        <v>79</v>
      </c>
      <c r="BX24" s="3">
        <v>184</v>
      </c>
      <c r="BY24" s="3">
        <v>18</v>
      </c>
      <c r="BZ24" s="3">
        <v>11</v>
      </c>
      <c r="CA24" s="3">
        <v>3</v>
      </c>
      <c r="CB24" s="3">
        <v>5</v>
      </c>
      <c r="CC24" s="40">
        <v>0.19148936170212766</v>
      </c>
      <c r="CD24" s="40">
        <v>0.13924050632911392</v>
      </c>
      <c r="CE24" s="40">
        <v>3.1914893617021274E-2</v>
      </c>
      <c r="CF24" s="40">
        <v>6.3291139240506333E-2</v>
      </c>
      <c r="CG24" s="40">
        <v>0.16763005780346821</v>
      </c>
      <c r="CH24" s="3">
        <v>8</v>
      </c>
      <c r="CI24" s="3">
        <v>4</v>
      </c>
      <c r="CJ24" s="3">
        <v>4</v>
      </c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</row>
    <row r="25" spans="1:494" s="2" customFormat="1" x14ac:dyDescent="0.2">
      <c r="A25" s="3" t="s">
        <v>71</v>
      </c>
      <c r="B25" s="38">
        <v>0.47746243739565941</v>
      </c>
      <c r="C25" s="42">
        <v>0.52253756260434059</v>
      </c>
      <c r="D25" s="19">
        <v>1479.7</v>
      </c>
      <c r="E25" s="19">
        <v>9</v>
      </c>
      <c r="F25" s="54">
        <v>2.4</v>
      </c>
      <c r="G25" s="39">
        <v>2.5</v>
      </c>
      <c r="H25" s="3">
        <v>508</v>
      </c>
      <c r="I25" s="3">
        <v>90</v>
      </c>
      <c r="J25" s="3">
        <v>0</v>
      </c>
      <c r="K25" s="59">
        <v>21</v>
      </c>
      <c r="L25" s="55">
        <v>0.15050167224080269</v>
      </c>
      <c r="M25" s="55">
        <v>0.20141342756183744</v>
      </c>
      <c r="N25" s="3">
        <v>226</v>
      </c>
      <c r="O25" s="3">
        <v>57</v>
      </c>
      <c r="P25" s="3">
        <v>286</v>
      </c>
      <c r="Q25" s="3">
        <v>1</v>
      </c>
      <c r="R25" s="3">
        <v>2</v>
      </c>
      <c r="S25" s="3">
        <v>1</v>
      </c>
      <c r="T25" s="3">
        <v>1</v>
      </c>
      <c r="U25" s="40">
        <v>4.4247787610619468E-3</v>
      </c>
      <c r="V25" s="40">
        <v>3.5087719298245612E-2</v>
      </c>
      <c r="W25" s="40">
        <v>4.4247787610619468E-3</v>
      </c>
      <c r="X25" s="40">
        <v>1.7543859649122806E-2</v>
      </c>
      <c r="Y25" s="40">
        <v>1.0600706713780919E-2</v>
      </c>
      <c r="Z25" s="3">
        <v>2</v>
      </c>
      <c r="AA25" s="3">
        <v>2</v>
      </c>
      <c r="AB25" s="3">
        <v>0</v>
      </c>
      <c r="AC25" s="3"/>
      <c r="AD25" s="3"/>
      <c r="AE25" s="3" t="s">
        <v>71</v>
      </c>
      <c r="AF25" s="38">
        <v>0.50751252086811349</v>
      </c>
      <c r="AG25" s="38">
        <v>0.49248747913188645</v>
      </c>
      <c r="AH25" s="3">
        <v>1474</v>
      </c>
      <c r="AI25" s="3">
        <v>22</v>
      </c>
      <c r="AJ25" s="39">
        <v>2.2999999999999998</v>
      </c>
      <c r="AK25" s="39">
        <v>2.6</v>
      </c>
      <c r="AL25" s="3">
        <v>585</v>
      </c>
      <c r="AM25" s="3">
        <v>13</v>
      </c>
      <c r="AN25" s="3">
        <v>0</v>
      </c>
      <c r="AO25" s="3">
        <v>9</v>
      </c>
      <c r="AP25" s="40">
        <v>2.1739130434782608E-2</v>
      </c>
      <c r="AQ25" s="40">
        <v>6.2706270627062702E-2</v>
      </c>
      <c r="AR25" s="3">
        <v>284</v>
      </c>
      <c r="AS25" s="3">
        <v>19</v>
      </c>
      <c r="AT25" s="3">
        <v>304</v>
      </c>
      <c r="AU25" s="3">
        <v>1</v>
      </c>
      <c r="AV25" s="3">
        <v>0</v>
      </c>
      <c r="AW25" s="3">
        <v>0</v>
      </c>
      <c r="AX25" s="3">
        <v>0</v>
      </c>
      <c r="AY25" s="40">
        <v>3.5211267605633804E-3</v>
      </c>
      <c r="AZ25" s="40">
        <v>0</v>
      </c>
      <c r="BA25" s="40">
        <v>0</v>
      </c>
      <c r="BB25" s="40">
        <v>0</v>
      </c>
      <c r="BC25" s="40">
        <v>3.3003300330033004E-3</v>
      </c>
      <c r="BD25" s="3">
        <v>3</v>
      </c>
      <c r="BE25" s="3">
        <v>2</v>
      </c>
      <c r="BF25" s="3">
        <v>1</v>
      </c>
      <c r="BG25" s="3"/>
      <c r="BH25" s="3"/>
      <c r="BI25" s="3" t="s">
        <v>71</v>
      </c>
      <c r="BJ25" s="38">
        <v>0.49415692821368951</v>
      </c>
      <c r="BK25" s="38">
        <v>0.50584307178631049</v>
      </c>
      <c r="BL25" s="3">
        <v>1712.1999999999998</v>
      </c>
      <c r="BM25" s="3">
        <v>21</v>
      </c>
      <c r="BN25" s="39">
        <v>3</v>
      </c>
      <c r="BO25" s="39">
        <v>2.7</v>
      </c>
      <c r="BP25" s="3">
        <v>536</v>
      </c>
      <c r="BQ25" s="3">
        <v>62</v>
      </c>
      <c r="BR25" s="3">
        <v>0</v>
      </c>
      <c r="BS25" s="41">
        <v>8</v>
      </c>
      <c r="BT25" s="40">
        <v>0.10367892976588629</v>
      </c>
      <c r="BU25" s="40">
        <v>0.13945578231292516</v>
      </c>
      <c r="BV25" s="3">
        <v>253</v>
      </c>
      <c r="BW25" s="3">
        <v>41</v>
      </c>
      <c r="BX25" s="3">
        <v>296</v>
      </c>
      <c r="BY25" s="3">
        <v>17</v>
      </c>
      <c r="BZ25" s="3">
        <v>0</v>
      </c>
      <c r="CA25" s="3">
        <v>2</v>
      </c>
      <c r="CB25" s="3">
        <v>0</v>
      </c>
      <c r="CC25" s="40">
        <v>6.7193675889328064E-2</v>
      </c>
      <c r="CD25" s="40">
        <v>0</v>
      </c>
      <c r="CE25" s="40">
        <v>7.9051383399209481E-3</v>
      </c>
      <c r="CF25" s="40">
        <v>0</v>
      </c>
      <c r="CG25" s="40">
        <v>5.7823129251700682E-2</v>
      </c>
      <c r="CH25" s="3">
        <v>12</v>
      </c>
      <c r="CI25" s="3">
        <v>8</v>
      </c>
      <c r="CJ25" s="3">
        <v>4</v>
      </c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</row>
    <row r="26" spans="1:494" s="2" customFormat="1" x14ac:dyDescent="0.2">
      <c r="A26" s="3" t="s">
        <v>66</v>
      </c>
      <c r="B26" s="38">
        <v>0.60100166944908184</v>
      </c>
      <c r="C26" s="38">
        <v>0.39899833055091821</v>
      </c>
      <c r="D26" s="19">
        <v>1111.4000000000001</v>
      </c>
      <c r="E26" s="19">
        <v>23</v>
      </c>
      <c r="F26" s="54">
        <v>1.7</v>
      </c>
      <c r="G26" s="39">
        <v>1.9</v>
      </c>
      <c r="H26" s="3">
        <v>578</v>
      </c>
      <c r="I26" s="3">
        <v>20</v>
      </c>
      <c r="J26" s="3">
        <v>0</v>
      </c>
      <c r="K26" s="59">
        <v>65</v>
      </c>
      <c r="L26" s="55">
        <v>3.3444816053511704E-2</v>
      </c>
      <c r="M26" s="55">
        <v>9.7222222222222224E-2</v>
      </c>
      <c r="N26" s="3">
        <v>325</v>
      </c>
      <c r="O26" s="3">
        <v>35</v>
      </c>
      <c r="P26" s="3">
        <v>360</v>
      </c>
      <c r="Q26" s="3">
        <v>5</v>
      </c>
      <c r="R26" s="3">
        <v>0</v>
      </c>
      <c r="S26" s="3">
        <v>1</v>
      </c>
      <c r="T26" s="3">
        <v>0</v>
      </c>
      <c r="U26" s="40">
        <v>1.5384615384615385E-2</v>
      </c>
      <c r="V26" s="40">
        <v>0</v>
      </c>
      <c r="W26" s="40">
        <v>3.0769230769230769E-3</v>
      </c>
      <c r="X26" s="40">
        <v>0</v>
      </c>
      <c r="Y26" s="40">
        <v>1.3888888888888888E-2</v>
      </c>
      <c r="Z26" s="3">
        <v>1</v>
      </c>
      <c r="AA26" s="3">
        <v>0</v>
      </c>
      <c r="AB26" s="3">
        <v>1</v>
      </c>
      <c r="AC26" s="3"/>
      <c r="AD26" s="3"/>
      <c r="AE26" s="3" t="s">
        <v>66</v>
      </c>
      <c r="AF26" s="38">
        <v>0.63272120200333892</v>
      </c>
      <c r="AG26" s="38">
        <v>0.36727879799666108</v>
      </c>
      <c r="AH26" s="3">
        <v>1153.8000000000002</v>
      </c>
      <c r="AI26" s="3">
        <v>21</v>
      </c>
      <c r="AJ26" s="39">
        <v>2.2000000000000002</v>
      </c>
      <c r="AK26" s="39">
        <v>1.8</v>
      </c>
      <c r="AL26" s="3">
        <v>589</v>
      </c>
      <c r="AM26" s="3">
        <v>9</v>
      </c>
      <c r="AN26" s="3">
        <v>0</v>
      </c>
      <c r="AO26" s="3">
        <v>25</v>
      </c>
      <c r="AP26" s="40">
        <v>1.5050167224080268E-2</v>
      </c>
      <c r="AQ26" s="40">
        <v>5.1212938005390833E-2</v>
      </c>
      <c r="AR26" s="3">
        <v>352</v>
      </c>
      <c r="AS26" s="3">
        <v>19</v>
      </c>
      <c r="AT26" s="3">
        <v>379</v>
      </c>
      <c r="AU26" s="3">
        <v>14</v>
      </c>
      <c r="AV26" s="3">
        <v>0</v>
      </c>
      <c r="AW26" s="3">
        <v>7</v>
      </c>
      <c r="AX26" s="3">
        <v>0</v>
      </c>
      <c r="AY26" s="40">
        <v>3.9772727272727272E-2</v>
      </c>
      <c r="AZ26" s="40">
        <v>0</v>
      </c>
      <c r="BA26" s="40">
        <v>1.9886363636363636E-2</v>
      </c>
      <c r="BB26" s="40">
        <v>0</v>
      </c>
      <c r="BC26" s="40">
        <v>3.7735849056603772E-2</v>
      </c>
      <c r="BD26" s="3">
        <v>0</v>
      </c>
      <c r="BE26" s="3">
        <v>0</v>
      </c>
      <c r="BF26" s="3">
        <v>0</v>
      </c>
      <c r="BG26" s="3"/>
      <c r="BH26" s="3"/>
      <c r="BI26" s="3" t="s">
        <v>66</v>
      </c>
      <c r="BJ26" s="38">
        <v>0.23</v>
      </c>
      <c r="BK26" s="38">
        <v>0.77</v>
      </c>
      <c r="BL26" s="3">
        <v>942.5</v>
      </c>
      <c r="BM26" s="3">
        <v>5</v>
      </c>
      <c r="BN26" s="39">
        <v>1.5</v>
      </c>
      <c r="BO26" s="39">
        <v>1.8</v>
      </c>
      <c r="BP26" s="3">
        <v>577</v>
      </c>
      <c r="BQ26" s="3">
        <v>22</v>
      </c>
      <c r="BR26" s="3">
        <v>0</v>
      </c>
      <c r="BS26" s="41">
        <v>355</v>
      </c>
      <c r="BT26" s="40">
        <v>3.6727879799666109E-2</v>
      </c>
      <c r="BU26" s="40">
        <v>0.2608695652173913</v>
      </c>
      <c r="BV26" s="3">
        <v>102</v>
      </c>
      <c r="BW26" s="3">
        <v>36</v>
      </c>
      <c r="BX26" s="3">
        <v>138</v>
      </c>
      <c r="BY26" s="3">
        <v>2</v>
      </c>
      <c r="BZ26" s="3">
        <v>0</v>
      </c>
      <c r="CA26" s="3">
        <v>0</v>
      </c>
      <c r="CB26" s="3">
        <v>0</v>
      </c>
      <c r="CC26" s="40">
        <v>1.9607843137254902E-2</v>
      </c>
      <c r="CD26" s="40">
        <v>0</v>
      </c>
      <c r="CE26" s="40">
        <v>0</v>
      </c>
      <c r="CF26" s="40">
        <v>0</v>
      </c>
      <c r="CG26" s="40">
        <v>1.4492753623188406E-2</v>
      </c>
      <c r="CH26" s="3">
        <v>0</v>
      </c>
      <c r="CI26" s="3">
        <v>0</v>
      </c>
      <c r="CJ26" s="3">
        <v>0</v>
      </c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</row>
    <row r="27" spans="1:494" s="2" customFormat="1" x14ac:dyDescent="0.2">
      <c r="A27" s="3" t="s">
        <v>67</v>
      </c>
      <c r="B27" s="38">
        <v>0.77462437395659434</v>
      </c>
      <c r="C27" s="38">
        <v>0.22537562604340566</v>
      </c>
      <c r="D27" s="19">
        <v>857.3</v>
      </c>
      <c r="E27" s="19">
        <v>10</v>
      </c>
      <c r="F27" s="54">
        <v>2.7</v>
      </c>
      <c r="G27" s="39">
        <v>1.1000000000000001</v>
      </c>
      <c r="H27" s="3">
        <v>493</v>
      </c>
      <c r="I27" s="3">
        <v>105</v>
      </c>
      <c r="J27" s="3">
        <v>0</v>
      </c>
      <c r="K27" s="59">
        <v>101</v>
      </c>
      <c r="L27" s="55">
        <v>0.17558528428093645</v>
      </c>
      <c r="M27" s="55">
        <v>0.36637931034482757</v>
      </c>
      <c r="N27" s="3">
        <v>294</v>
      </c>
      <c r="O27" s="3">
        <v>170</v>
      </c>
      <c r="P27" s="3">
        <v>464</v>
      </c>
      <c r="Q27" s="3">
        <v>75</v>
      </c>
      <c r="R27" s="3">
        <v>103</v>
      </c>
      <c r="S27" s="3">
        <v>74</v>
      </c>
      <c r="T27" s="3">
        <v>9</v>
      </c>
      <c r="U27" s="40">
        <v>0.25510204081632654</v>
      </c>
      <c r="V27" s="40">
        <v>0.60588235294117643</v>
      </c>
      <c r="W27" s="40">
        <v>0.25170068027210885</v>
      </c>
      <c r="X27" s="40">
        <v>5.2941176470588235E-2</v>
      </c>
      <c r="Y27" s="40">
        <v>0.38362068965517243</v>
      </c>
      <c r="Z27" s="3">
        <v>0</v>
      </c>
      <c r="AA27" s="3">
        <v>0</v>
      </c>
      <c r="AB27" s="3">
        <v>0</v>
      </c>
      <c r="AC27" s="3"/>
      <c r="AD27" s="3"/>
      <c r="AE27" s="3" t="s">
        <v>67</v>
      </c>
      <c r="AF27" s="38">
        <v>0.60601001669449084</v>
      </c>
      <c r="AG27" s="38">
        <v>0.39398998330550916</v>
      </c>
      <c r="AH27" s="3">
        <v>1962.4</v>
      </c>
      <c r="AI27" s="3">
        <v>19</v>
      </c>
      <c r="AJ27" s="39">
        <v>3</v>
      </c>
      <c r="AK27" s="39">
        <v>3.5</v>
      </c>
      <c r="AL27" s="3">
        <v>469</v>
      </c>
      <c r="AM27" s="3">
        <v>129</v>
      </c>
      <c r="AN27" s="3">
        <v>0</v>
      </c>
      <c r="AO27" s="41">
        <v>22</v>
      </c>
      <c r="AP27" s="40">
        <v>0.2157190635451505</v>
      </c>
      <c r="AQ27" s="40">
        <v>0.47619047619047616</v>
      </c>
      <c r="AR27" s="3">
        <v>187</v>
      </c>
      <c r="AS27" s="3">
        <v>170</v>
      </c>
      <c r="AT27" s="3">
        <v>363</v>
      </c>
      <c r="AU27" s="3">
        <v>0</v>
      </c>
      <c r="AV27" s="3">
        <v>1</v>
      </c>
      <c r="AW27" s="3">
        <v>0</v>
      </c>
      <c r="AX27" s="3">
        <v>1</v>
      </c>
      <c r="AY27" s="40">
        <v>0</v>
      </c>
      <c r="AZ27" s="40">
        <v>5.8823529411764705E-3</v>
      </c>
      <c r="BA27" s="40">
        <v>0</v>
      </c>
      <c r="BB27" s="40">
        <v>5.8823529411764705E-3</v>
      </c>
      <c r="BC27" s="40">
        <v>2.8011204481792717E-3</v>
      </c>
      <c r="BD27" s="3">
        <v>10</v>
      </c>
      <c r="BE27" s="3">
        <v>4</v>
      </c>
      <c r="BF27" s="3">
        <v>6</v>
      </c>
      <c r="BG27" s="3"/>
      <c r="BH27" s="3"/>
      <c r="BI27" s="3" t="s">
        <v>67</v>
      </c>
      <c r="BJ27" s="38">
        <v>0.60862068965517246</v>
      </c>
      <c r="BK27" s="38">
        <v>0.39137931034482759</v>
      </c>
      <c r="BL27" s="3">
        <v>914.1</v>
      </c>
      <c r="BM27" s="3">
        <v>14</v>
      </c>
      <c r="BN27" s="39">
        <v>1.9</v>
      </c>
      <c r="BO27" s="39">
        <v>1.4</v>
      </c>
      <c r="BP27" s="3">
        <v>538</v>
      </c>
      <c r="BQ27" s="3">
        <v>61</v>
      </c>
      <c r="BR27" s="3">
        <v>0</v>
      </c>
      <c r="BS27" s="3">
        <v>68</v>
      </c>
      <c r="BT27" s="40">
        <v>0.1018363939899833</v>
      </c>
      <c r="BU27" s="40">
        <v>2.3809523809523808E-2</v>
      </c>
      <c r="BV27" s="3">
        <v>328</v>
      </c>
      <c r="BW27" s="3">
        <v>8</v>
      </c>
      <c r="BX27" s="3">
        <v>353</v>
      </c>
      <c r="BY27" s="3">
        <v>58</v>
      </c>
      <c r="BZ27" s="3">
        <v>0</v>
      </c>
      <c r="CA27" s="3">
        <v>35</v>
      </c>
      <c r="CB27" s="3">
        <v>0</v>
      </c>
      <c r="CC27" s="40">
        <v>0.17682926829268292</v>
      </c>
      <c r="CD27" s="40">
        <v>0</v>
      </c>
      <c r="CE27" s="40">
        <v>0.10670731707317073</v>
      </c>
      <c r="CF27" s="40">
        <v>0</v>
      </c>
      <c r="CG27" s="40">
        <v>0.17261904761904762</v>
      </c>
      <c r="CH27" s="3">
        <v>0</v>
      </c>
      <c r="CI27" s="3">
        <v>0</v>
      </c>
      <c r="CJ27" s="3">
        <v>0</v>
      </c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</row>
    <row r="28" spans="1:494" s="2" customFormat="1" x14ac:dyDescent="0.2">
      <c r="A28" s="3" t="s">
        <v>68</v>
      </c>
      <c r="B28" s="38">
        <v>0.6806020066889632</v>
      </c>
      <c r="C28" s="38">
        <v>0.3193979933110368</v>
      </c>
      <c r="D28" s="19">
        <v>952.6</v>
      </c>
      <c r="E28" s="19">
        <v>10</v>
      </c>
      <c r="F28" s="54">
        <v>2.1</v>
      </c>
      <c r="G28" s="39">
        <v>1.4</v>
      </c>
      <c r="H28" s="3">
        <v>493</v>
      </c>
      <c r="I28" s="3">
        <v>105</v>
      </c>
      <c r="J28" s="3">
        <v>2</v>
      </c>
      <c r="K28" s="19">
        <v>194</v>
      </c>
      <c r="L28" s="55">
        <v>0.17558528428093645</v>
      </c>
      <c r="M28" s="55">
        <v>0.33002481389578164</v>
      </c>
      <c r="N28" s="3">
        <v>270</v>
      </c>
      <c r="O28" s="3">
        <v>133</v>
      </c>
      <c r="P28" s="3">
        <v>407</v>
      </c>
      <c r="Q28" s="3">
        <v>85</v>
      </c>
      <c r="R28" s="3">
        <v>57</v>
      </c>
      <c r="S28" s="3">
        <v>85</v>
      </c>
      <c r="T28" s="3">
        <v>4</v>
      </c>
      <c r="U28" s="40">
        <v>0.31481481481481483</v>
      </c>
      <c r="V28" s="40">
        <v>0.42857142857142855</v>
      </c>
      <c r="W28" s="40">
        <v>0.31481481481481483</v>
      </c>
      <c r="X28" s="40">
        <v>3.007518796992481E-2</v>
      </c>
      <c r="Y28" s="40">
        <v>0.35235732009925558</v>
      </c>
      <c r="Z28" s="3">
        <v>1</v>
      </c>
      <c r="AA28" s="3">
        <v>1</v>
      </c>
      <c r="AB28" s="3">
        <v>0</v>
      </c>
      <c r="AC28" s="3"/>
      <c r="AD28" s="3"/>
      <c r="AE28" s="3" t="s">
        <v>68</v>
      </c>
      <c r="AF28" s="38">
        <v>0.53422370617696158</v>
      </c>
      <c r="AG28" s="38">
        <v>0.46577629382303842</v>
      </c>
      <c r="AH28" s="3">
        <v>2079.5</v>
      </c>
      <c r="AI28" s="3">
        <v>23</v>
      </c>
      <c r="AJ28" s="39">
        <v>3.4</v>
      </c>
      <c r="AK28" s="39">
        <v>3.5</v>
      </c>
      <c r="AL28" s="3">
        <v>530</v>
      </c>
      <c r="AM28" s="3">
        <v>68</v>
      </c>
      <c r="AN28" s="3">
        <v>0</v>
      </c>
      <c r="AO28" s="41">
        <v>19</v>
      </c>
      <c r="AP28" s="40">
        <v>0.11371237458193979</v>
      </c>
      <c r="AQ28" s="40">
        <v>0.34384858044164041</v>
      </c>
      <c r="AR28" s="3">
        <v>208</v>
      </c>
      <c r="AS28" s="3">
        <v>109</v>
      </c>
      <c r="AT28" s="3">
        <v>320</v>
      </c>
      <c r="AU28" s="3">
        <v>0</v>
      </c>
      <c r="AV28" s="3">
        <v>0</v>
      </c>
      <c r="AW28" s="3">
        <v>0</v>
      </c>
      <c r="AX28" s="3">
        <v>0</v>
      </c>
      <c r="AY28" s="40">
        <v>0</v>
      </c>
      <c r="AZ28" s="40">
        <v>0</v>
      </c>
      <c r="BA28" s="40">
        <v>0</v>
      </c>
      <c r="BB28" s="40">
        <v>0</v>
      </c>
      <c r="BC28" s="40">
        <v>0</v>
      </c>
      <c r="BD28" s="3">
        <v>1</v>
      </c>
      <c r="BE28" s="3">
        <v>0</v>
      </c>
      <c r="BF28" s="3">
        <v>1</v>
      </c>
      <c r="BG28" s="3"/>
      <c r="BH28" s="3"/>
      <c r="BI28" s="3" t="s">
        <v>68</v>
      </c>
      <c r="BJ28" s="38">
        <v>0.337228714524207</v>
      </c>
      <c r="BK28" s="38">
        <v>0.662771285475793</v>
      </c>
      <c r="BL28" s="3">
        <v>273.10000000000002</v>
      </c>
      <c r="BM28" s="3">
        <v>1</v>
      </c>
      <c r="BN28" s="39">
        <v>0.5</v>
      </c>
      <c r="BO28" s="39">
        <v>0.4</v>
      </c>
      <c r="BP28" s="3">
        <v>550</v>
      </c>
      <c r="BQ28" s="3">
        <v>49</v>
      </c>
      <c r="BR28" s="3">
        <v>0</v>
      </c>
      <c r="BS28" s="41">
        <v>569</v>
      </c>
      <c r="BT28" s="40">
        <v>8.1803005008347252E-2</v>
      </c>
      <c r="BU28" s="40">
        <v>0.32178217821782179</v>
      </c>
      <c r="BV28" s="3">
        <v>137</v>
      </c>
      <c r="BW28" s="3">
        <v>65</v>
      </c>
      <c r="BX28" s="3">
        <v>202</v>
      </c>
      <c r="BY28" s="3">
        <v>51</v>
      </c>
      <c r="BZ28" s="3">
        <v>37</v>
      </c>
      <c r="CA28" s="3">
        <v>3</v>
      </c>
      <c r="CB28" s="3">
        <v>7</v>
      </c>
      <c r="CC28" s="40">
        <v>0.37226277372262773</v>
      </c>
      <c r="CD28" s="40">
        <v>0.56923076923076921</v>
      </c>
      <c r="CE28" s="40">
        <v>2.1897810218978103E-2</v>
      </c>
      <c r="CF28" s="40">
        <v>0.1076923076923077</v>
      </c>
      <c r="CG28" s="40">
        <v>0.43564356435643564</v>
      </c>
      <c r="CH28" s="3">
        <v>0</v>
      </c>
      <c r="CI28" s="3">
        <v>0</v>
      </c>
      <c r="CJ28" s="3">
        <v>0</v>
      </c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</row>
    <row r="29" spans="1:494" s="2" customFormat="1" x14ac:dyDescent="0.2">
      <c r="A29" s="3" t="s">
        <v>69</v>
      </c>
      <c r="B29" s="38">
        <v>0.48080133555926546</v>
      </c>
      <c r="C29" s="38">
        <v>0.51919866444073459</v>
      </c>
      <c r="D29" s="19">
        <v>1688.4</v>
      </c>
      <c r="E29" s="19">
        <v>22</v>
      </c>
      <c r="F29" s="54">
        <v>2.9</v>
      </c>
      <c r="G29" s="39">
        <v>2.8</v>
      </c>
      <c r="H29" s="3">
        <v>561</v>
      </c>
      <c r="I29" s="3">
        <v>37</v>
      </c>
      <c r="J29" s="3">
        <v>0</v>
      </c>
      <c r="K29" s="19">
        <v>37</v>
      </c>
      <c r="L29" s="55">
        <v>6.1872909698996656E-2</v>
      </c>
      <c r="M29" s="55">
        <v>0.12587412587412589</v>
      </c>
      <c r="N29" s="3">
        <v>250</v>
      </c>
      <c r="O29" s="3">
        <v>36</v>
      </c>
      <c r="P29" s="3">
        <v>288</v>
      </c>
      <c r="Q29" s="3">
        <v>10</v>
      </c>
      <c r="R29" s="3">
        <v>0</v>
      </c>
      <c r="S29" s="3">
        <v>0</v>
      </c>
      <c r="T29" s="3">
        <v>0</v>
      </c>
      <c r="U29" s="40">
        <v>0.04</v>
      </c>
      <c r="V29" s="40">
        <v>0</v>
      </c>
      <c r="W29" s="40">
        <v>0</v>
      </c>
      <c r="X29" s="40">
        <v>0</v>
      </c>
      <c r="Y29" s="40">
        <v>3.4965034965034968E-2</v>
      </c>
      <c r="Z29" s="3">
        <v>0</v>
      </c>
      <c r="AA29" s="3">
        <v>0</v>
      </c>
      <c r="AB29" s="3">
        <v>0</v>
      </c>
      <c r="AC29" s="3"/>
      <c r="AD29" s="3"/>
      <c r="AE29" s="3" t="s">
        <v>69</v>
      </c>
      <c r="AF29" s="38">
        <v>5.0083472454090151E-2</v>
      </c>
      <c r="AG29" s="38">
        <v>0.94991652754590983</v>
      </c>
      <c r="AH29" s="3">
        <v>630.59999999999991</v>
      </c>
      <c r="AI29" s="3">
        <v>7</v>
      </c>
      <c r="AJ29" s="39">
        <v>0.9</v>
      </c>
      <c r="AK29" s="39">
        <v>3.9</v>
      </c>
      <c r="AL29" s="3">
        <v>583</v>
      </c>
      <c r="AM29" s="3">
        <v>15</v>
      </c>
      <c r="AN29" s="3">
        <v>0</v>
      </c>
      <c r="AO29" s="41">
        <v>39</v>
      </c>
      <c r="AP29" s="40">
        <v>2.508361204013378E-2</v>
      </c>
      <c r="AQ29" s="40">
        <v>3.4482758620689655E-2</v>
      </c>
      <c r="AR29" s="3">
        <v>28</v>
      </c>
      <c r="AS29" s="3">
        <v>1</v>
      </c>
      <c r="AT29" s="3">
        <v>30</v>
      </c>
      <c r="AU29" s="3">
        <v>2</v>
      </c>
      <c r="AV29" s="3">
        <v>0</v>
      </c>
      <c r="AW29" s="3">
        <v>0</v>
      </c>
      <c r="AX29" s="3">
        <v>0</v>
      </c>
      <c r="AY29" s="40">
        <v>7.1428571428571425E-2</v>
      </c>
      <c r="AZ29" s="40">
        <v>0</v>
      </c>
      <c r="BA29" s="40">
        <v>0</v>
      </c>
      <c r="BB29" s="40">
        <v>0</v>
      </c>
      <c r="BC29" s="40">
        <v>6.8965517241379309E-2</v>
      </c>
      <c r="BD29" s="3">
        <v>1</v>
      </c>
      <c r="BE29" s="3">
        <v>1</v>
      </c>
      <c r="BF29" s="3">
        <v>0</v>
      </c>
      <c r="BG29" s="3"/>
      <c r="BH29" s="3"/>
      <c r="BI29" s="3" t="s">
        <v>69</v>
      </c>
      <c r="BJ29" s="38">
        <v>0.72</v>
      </c>
      <c r="BK29" s="38">
        <v>0.28000000000000003</v>
      </c>
      <c r="BL29" s="3">
        <v>1062.7</v>
      </c>
      <c r="BM29" s="3">
        <v>7</v>
      </c>
      <c r="BN29" s="39">
        <v>1.5</v>
      </c>
      <c r="BO29" s="39">
        <v>1.9</v>
      </c>
      <c r="BP29" s="3">
        <v>486</v>
      </c>
      <c r="BQ29" s="3">
        <v>113</v>
      </c>
      <c r="BR29" s="3">
        <v>0</v>
      </c>
      <c r="BS29" s="41">
        <v>142</v>
      </c>
      <c r="BT29" s="40">
        <v>0.18864774624373956</v>
      </c>
      <c r="BU29" s="40">
        <v>0.2752941176470588</v>
      </c>
      <c r="BV29" s="3">
        <v>308</v>
      </c>
      <c r="BW29" s="3">
        <v>117</v>
      </c>
      <c r="BX29" s="3">
        <v>432</v>
      </c>
      <c r="BY29" s="3">
        <v>22</v>
      </c>
      <c r="BZ29" s="3">
        <v>15</v>
      </c>
      <c r="CA29" s="3">
        <v>18</v>
      </c>
      <c r="CB29" s="3">
        <v>4</v>
      </c>
      <c r="CC29" s="40">
        <v>7.1428571428571425E-2</v>
      </c>
      <c r="CD29" s="40">
        <v>0.12820512820512819</v>
      </c>
      <c r="CE29" s="40">
        <v>5.844155844155844E-2</v>
      </c>
      <c r="CF29" s="40">
        <v>3.4188034188034191E-2</v>
      </c>
      <c r="CG29" s="40">
        <v>8.7058823529411758E-2</v>
      </c>
      <c r="CH29" s="3">
        <v>2</v>
      </c>
      <c r="CI29" s="3">
        <v>2</v>
      </c>
      <c r="CJ29" s="3">
        <v>0</v>
      </c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</row>
    <row r="30" spans="1:494" s="2" customFormat="1" x14ac:dyDescent="0.2">
      <c r="A30" s="3" t="s">
        <v>70</v>
      </c>
      <c r="B30" s="38">
        <v>0.60434056761268784</v>
      </c>
      <c r="C30" s="38">
        <v>0.39565943238731216</v>
      </c>
      <c r="D30" s="19">
        <v>728.9</v>
      </c>
      <c r="E30" s="19">
        <v>11</v>
      </c>
      <c r="F30" s="54">
        <v>1.2</v>
      </c>
      <c r="G30" s="39">
        <v>1.2</v>
      </c>
      <c r="H30" s="3">
        <v>595</v>
      </c>
      <c r="I30" s="3">
        <v>3</v>
      </c>
      <c r="J30" s="3">
        <v>0</v>
      </c>
      <c r="K30" s="19">
        <v>1</v>
      </c>
      <c r="L30" s="55">
        <v>5.016722408026756E-3</v>
      </c>
      <c r="M30" s="55">
        <v>2.7932960893854749E-3</v>
      </c>
      <c r="N30" s="3">
        <v>357</v>
      </c>
      <c r="O30" s="3">
        <v>1</v>
      </c>
      <c r="P30" s="3">
        <v>362</v>
      </c>
      <c r="Q30" s="3">
        <v>39</v>
      </c>
      <c r="R30" s="3">
        <v>0</v>
      </c>
      <c r="S30" s="3">
        <v>23</v>
      </c>
      <c r="T30" s="3">
        <v>0</v>
      </c>
      <c r="U30" s="40">
        <v>0.1092436974789916</v>
      </c>
      <c r="V30" s="40">
        <v>0</v>
      </c>
      <c r="W30" s="40">
        <v>6.4425770308123242E-2</v>
      </c>
      <c r="X30" s="40">
        <v>0</v>
      </c>
      <c r="Y30" s="40">
        <v>0.10893854748603352</v>
      </c>
      <c r="Z30" s="3">
        <v>0</v>
      </c>
      <c r="AA30" s="3">
        <v>0</v>
      </c>
      <c r="AB30" s="3">
        <v>0</v>
      </c>
      <c r="AC30" s="3"/>
      <c r="AD30" s="3"/>
      <c r="AE30" s="3" t="s">
        <v>70</v>
      </c>
      <c r="AF30" s="38">
        <v>0.53756260434056757</v>
      </c>
      <c r="AG30" s="38">
        <v>0.46243739565943237</v>
      </c>
      <c r="AH30" s="3">
        <v>2471.1999999999998</v>
      </c>
      <c r="AI30" s="3">
        <v>26</v>
      </c>
      <c r="AJ30" s="39">
        <v>4</v>
      </c>
      <c r="AK30" s="39">
        <v>4.2</v>
      </c>
      <c r="AL30" s="3">
        <v>575</v>
      </c>
      <c r="AM30" s="3">
        <v>23</v>
      </c>
      <c r="AN30" s="3">
        <v>15</v>
      </c>
      <c r="AO30" s="3">
        <v>4</v>
      </c>
      <c r="AP30" s="40">
        <v>3.8461538461538464E-2</v>
      </c>
      <c r="AQ30" s="40">
        <v>0.14420062695924765</v>
      </c>
      <c r="AR30" s="3">
        <v>273</v>
      </c>
      <c r="AS30" s="3">
        <v>46</v>
      </c>
      <c r="AT30" s="3">
        <v>322</v>
      </c>
      <c r="AU30" s="3">
        <v>1</v>
      </c>
      <c r="AV30" s="3">
        <v>0</v>
      </c>
      <c r="AW30" s="3">
        <v>1</v>
      </c>
      <c r="AX30" s="3">
        <v>0</v>
      </c>
      <c r="AY30" s="40">
        <v>3.663003663003663E-3</v>
      </c>
      <c r="AZ30" s="40">
        <v>0</v>
      </c>
      <c r="BA30" s="40">
        <v>3.663003663003663E-3</v>
      </c>
      <c r="BB30" s="40">
        <v>0</v>
      </c>
      <c r="BC30" s="40">
        <v>3.134796238244514E-3</v>
      </c>
      <c r="BD30" s="3">
        <v>7</v>
      </c>
      <c r="BE30" s="3">
        <v>4</v>
      </c>
      <c r="BF30" s="3">
        <v>3</v>
      </c>
      <c r="BG30" s="3"/>
      <c r="BH30" s="3"/>
      <c r="BI30" s="3" t="s">
        <v>70</v>
      </c>
      <c r="BJ30" s="38">
        <v>0.42499999999999999</v>
      </c>
      <c r="BK30" s="38">
        <v>0.57499999999999996</v>
      </c>
      <c r="BL30" s="3">
        <v>1635.3000000000002</v>
      </c>
      <c r="BM30" s="3">
        <v>16</v>
      </c>
      <c r="BN30" s="39">
        <v>2.4</v>
      </c>
      <c r="BO30" s="39">
        <v>3.2</v>
      </c>
      <c r="BP30" s="3">
        <v>555</v>
      </c>
      <c r="BQ30" s="3">
        <v>44</v>
      </c>
      <c r="BR30" s="3">
        <v>0</v>
      </c>
      <c r="BS30" s="41">
        <v>41</v>
      </c>
      <c r="BT30" s="40">
        <v>7.3455759599332218E-2</v>
      </c>
      <c r="BU30" s="40">
        <v>0.1067193675889328</v>
      </c>
      <c r="BV30" s="3">
        <v>226</v>
      </c>
      <c r="BW30" s="3">
        <v>27</v>
      </c>
      <c r="BX30" s="3">
        <v>255</v>
      </c>
      <c r="BY30" s="3">
        <v>56</v>
      </c>
      <c r="BZ30" s="3">
        <v>0</v>
      </c>
      <c r="CA30" s="3">
        <v>0</v>
      </c>
      <c r="CB30" s="3">
        <v>0</v>
      </c>
      <c r="CC30" s="40">
        <v>0.24778761061946902</v>
      </c>
      <c r="CD30" s="40">
        <v>0</v>
      </c>
      <c r="CE30" s="40">
        <v>0</v>
      </c>
      <c r="CF30" s="40">
        <v>0</v>
      </c>
      <c r="CG30" s="40">
        <v>0.22134387351778656</v>
      </c>
      <c r="CH30" s="3">
        <v>8</v>
      </c>
      <c r="CI30" s="3">
        <v>6</v>
      </c>
      <c r="CJ30" s="3">
        <v>2</v>
      </c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</row>
    <row r="31" spans="1:494" s="6" customFormat="1" x14ac:dyDescent="0.2">
      <c r="A31" s="4" t="s">
        <v>71</v>
      </c>
      <c r="B31" s="56">
        <v>0.45075125208681133</v>
      </c>
      <c r="C31" s="38">
        <v>0.54924874791318867</v>
      </c>
      <c r="D31" s="19">
        <v>2381.6000000000004</v>
      </c>
      <c r="E31" s="19">
        <v>23</v>
      </c>
      <c r="F31" s="54">
        <v>4</v>
      </c>
      <c r="G31" s="39">
        <v>3.9</v>
      </c>
      <c r="H31" s="3">
        <v>525</v>
      </c>
      <c r="I31" s="3">
        <v>73</v>
      </c>
      <c r="J31" s="3">
        <v>0</v>
      </c>
      <c r="K31" s="59">
        <v>49</v>
      </c>
      <c r="L31" s="55">
        <v>0.12207357859531773</v>
      </c>
      <c r="M31" s="55">
        <v>0.26119402985074625</v>
      </c>
      <c r="N31" s="4">
        <v>198</v>
      </c>
      <c r="O31" s="3">
        <v>70</v>
      </c>
      <c r="P31" s="3">
        <v>270</v>
      </c>
      <c r="Q31" s="4">
        <v>0</v>
      </c>
      <c r="R31" s="3">
        <v>0</v>
      </c>
      <c r="S31" s="3">
        <v>0</v>
      </c>
      <c r="T31" s="4">
        <v>0</v>
      </c>
      <c r="U31" s="58">
        <v>0</v>
      </c>
      <c r="V31" s="58">
        <v>0</v>
      </c>
      <c r="W31" s="58">
        <v>0</v>
      </c>
      <c r="X31" s="58">
        <v>0</v>
      </c>
      <c r="Y31" s="58">
        <v>0</v>
      </c>
      <c r="Z31" s="4">
        <v>1</v>
      </c>
      <c r="AA31" s="4">
        <v>0</v>
      </c>
      <c r="AB31" s="4">
        <v>1</v>
      </c>
      <c r="AC31" s="4"/>
      <c r="AD31" s="4"/>
      <c r="AE31" s="4" t="s">
        <v>71</v>
      </c>
      <c r="AF31" s="56">
        <v>0.44407345575959933</v>
      </c>
      <c r="AG31" s="56">
        <v>0.55592654424040067</v>
      </c>
      <c r="AH31" s="4">
        <v>2018.4</v>
      </c>
      <c r="AI31" s="4">
        <v>26</v>
      </c>
      <c r="AJ31" s="57">
        <v>3.3</v>
      </c>
      <c r="AK31" s="57">
        <v>3.4</v>
      </c>
      <c r="AL31" s="4">
        <v>572</v>
      </c>
      <c r="AM31" s="4">
        <v>26</v>
      </c>
      <c r="AN31" s="4">
        <v>0</v>
      </c>
      <c r="AO31" s="60">
        <v>43</v>
      </c>
      <c r="AP31" s="58">
        <v>4.3478260869565216E-2</v>
      </c>
      <c r="AQ31" s="58">
        <v>0.12686567164179105</v>
      </c>
      <c r="AR31" s="4">
        <v>234</v>
      </c>
      <c r="AS31" s="4">
        <v>34</v>
      </c>
      <c r="AT31" s="4">
        <v>266</v>
      </c>
      <c r="AU31" s="4">
        <v>0</v>
      </c>
      <c r="AV31" s="3">
        <v>0</v>
      </c>
      <c r="AW31" s="3">
        <v>0</v>
      </c>
      <c r="AX31" s="4">
        <v>0</v>
      </c>
      <c r="AY31" s="58">
        <v>0</v>
      </c>
      <c r="AZ31" s="58">
        <v>0</v>
      </c>
      <c r="BA31" s="58">
        <v>0</v>
      </c>
      <c r="BB31" s="58">
        <v>0</v>
      </c>
      <c r="BC31" s="58">
        <v>0</v>
      </c>
      <c r="BD31" s="4">
        <v>0</v>
      </c>
      <c r="BE31" s="4">
        <v>0</v>
      </c>
      <c r="BF31" s="4">
        <v>0</v>
      </c>
      <c r="BG31" s="4"/>
      <c r="BH31" s="4"/>
      <c r="BI31" s="4" t="s">
        <v>71</v>
      </c>
      <c r="BJ31" s="56">
        <v>0.64</v>
      </c>
      <c r="BK31" s="56">
        <v>0.36</v>
      </c>
      <c r="BL31" s="4">
        <v>831.7</v>
      </c>
      <c r="BM31" s="4">
        <v>13</v>
      </c>
      <c r="BN31" s="57">
        <v>0.9</v>
      </c>
      <c r="BO31" s="57">
        <v>1.7</v>
      </c>
      <c r="BP31" s="4">
        <v>558</v>
      </c>
      <c r="BQ31" s="4">
        <v>41</v>
      </c>
      <c r="BR31" s="4">
        <v>0</v>
      </c>
      <c r="BS31" s="4">
        <v>50</v>
      </c>
      <c r="BT31" s="58">
        <v>6.8447412353923209E-2</v>
      </c>
      <c r="BU31" s="58">
        <v>8.611111111111111E-2</v>
      </c>
      <c r="BV31" s="4">
        <v>329</v>
      </c>
      <c r="BW31" s="4">
        <v>31</v>
      </c>
      <c r="BX31" s="4">
        <v>384</v>
      </c>
      <c r="BY31" s="4">
        <v>112</v>
      </c>
      <c r="BZ31" s="4">
        <v>0</v>
      </c>
      <c r="CA31" s="4">
        <v>1</v>
      </c>
      <c r="CB31" s="4">
        <v>0</v>
      </c>
      <c r="CC31" s="58">
        <v>0.34042553191489361</v>
      </c>
      <c r="CD31" s="58">
        <v>0</v>
      </c>
      <c r="CE31" s="58">
        <v>3.0395136778115501E-3</v>
      </c>
      <c r="CF31" s="58">
        <v>0</v>
      </c>
      <c r="CG31" s="58">
        <v>0.31111111111111112</v>
      </c>
      <c r="CH31" s="4">
        <v>3</v>
      </c>
      <c r="CI31" s="4">
        <v>2</v>
      </c>
      <c r="CJ31" s="4">
        <v>1</v>
      </c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</row>
    <row r="32" spans="1:494" s="2" customFormat="1" x14ac:dyDescent="0.2">
      <c r="A32" s="3" t="s">
        <v>72</v>
      </c>
      <c r="B32" s="38">
        <f>AVERAGE(B2:B31)</f>
        <v>0.50232655793767333</v>
      </c>
      <c r="C32" s="38">
        <f>AVERAGE(C2:C31)</f>
        <v>0.49767344206232667</v>
      </c>
      <c r="D32" s="54">
        <f>AVERAGE(D2:D31)</f>
        <v>1504.2433333333333</v>
      </c>
      <c r="E32" s="54">
        <f>AVERAGE(E2:E31)</f>
        <v>17.399999999999999</v>
      </c>
      <c r="F32" s="54">
        <f>AVERAGE(F2:F31)</f>
        <v>2.5766666666666667</v>
      </c>
      <c r="G32" s="39">
        <f>AVERAGE(G2:G31)</f>
        <v>2.6200000000000006</v>
      </c>
      <c r="H32" s="39">
        <f>AVERAGE(H2:H31)</f>
        <v>520.4666666666667</v>
      </c>
      <c r="I32" s="39">
        <f>AVERAGE(I2:I31)</f>
        <v>77.533333333333331</v>
      </c>
      <c r="J32" s="39">
        <f>AVERAGE(J2:J31)</f>
        <v>0.46666666666666667</v>
      </c>
      <c r="K32" s="54">
        <f>AVERAGE(K2:K31)</f>
        <v>44.758620689655174</v>
      </c>
      <c r="L32" s="55">
        <f>AVERAGE(L2:L31)</f>
        <v>0.12965440356744704</v>
      </c>
      <c r="M32" s="55">
        <f>AVERAGE(M2:M31)</f>
        <v>0.19590759419803036</v>
      </c>
      <c r="N32" s="39">
        <f>AVERAGE(N2:N31)</f>
        <v>221.63333333333333</v>
      </c>
      <c r="O32" s="39">
        <f>AVERAGE(O2:O31)</f>
        <v>58.8</v>
      </c>
      <c r="P32" s="39">
        <f>AVERAGE(P2:P31)</f>
        <v>292.3</v>
      </c>
      <c r="Q32" s="39">
        <f>AVERAGE(Q2:Q31)</f>
        <v>10.433333333333334</v>
      </c>
      <c r="R32" s="39">
        <f>AVERAGE(R2:R31)</f>
        <v>6.0666666666666664</v>
      </c>
      <c r="S32" s="39">
        <f>AVERAGE(S2:S31)</f>
        <v>9.1666666666666661</v>
      </c>
      <c r="T32" s="39">
        <f>AVERAGE(T2:T31)</f>
        <v>0.7</v>
      </c>
      <c r="U32" s="40">
        <f>AVERAGE(U2:U31)</f>
        <v>4.1656525336120638E-2</v>
      </c>
      <c r="V32" s="40">
        <f>AVERAGE(V2:V31)</f>
        <v>4.3325655591149509E-2</v>
      </c>
      <c r="W32" s="40">
        <f>AVERAGE(W2:W31)</f>
        <v>3.7322037907787875E-2</v>
      </c>
      <c r="X32" s="40">
        <f>AVERAGE(X2:X31)</f>
        <v>6.2750881870922721E-3</v>
      </c>
      <c r="Y32" s="40">
        <f>AVERAGE(Y2:Y31)</f>
        <v>4.5346679436891371E-2</v>
      </c>
      <c r="Z32" s="40">
        <f>AVERAGE(Z2:Z31)</f>
        <v>2.0666666666666669</v>
      </c>
      <c r="AA32" s="40">
        <f>AVERAGE(AA2:AA31)</f>
        <v>1.2333333333333334</v>
      </c>
      <c r="AB32" s="40">
        <f>AVERAGE(AB2:AB31)</f>
        <v>0.83333333333333337</v>
      </c>
      <c r="AC32" s="3"/>
      <c r="AD32" s="3"/>
      <c r="AE32" s="3" t="s">
        <v>72</v>
      </c>
      <c r="AF32" s="38">
        <f>AVERAGE(AF2:AF31)</f>
        <v>0.544936263979935</v>
      </c>
      <c r="AG32" s="38">
        <f>AVERAGE(AG2:AG31)</f>
        <v>0.45506373602006484</v>
      </c>
      <c r="AH32" s="39">
        <f>AVERAGE(AH2:AH31)</f>
        <v>1796.6466666666668</v>
      </c>
      <c r="AI32" s="39">
        <f>AVERAGE(AI2:AI31)</f>
        <v>20.933333333333334</v>
      </c>
      <c r="AJ32" s="39">
        <f>AVERAGE(AJ2:AJ31)</f>
        <v>3</v>
      </c>
      <c r="AK32" s="39">
        <f>AVERAGE(AK2:AK31)</f>
        <v>3.1433333333333331</v>
      </c>
      <c r="AL32" s="39">
        <f>AVERAGE(AL2:AL31)</f>
        <v>512.06666666666672</v>
      </c>
      <c r="AM32" s="39">
        <f>AVERAGE(AM2:AM31)</f>
        <v>85.933333333333337</v>
      </c>
      <c r="AN32" s="39">
        <f>AVERAGE(AN2:AN31)</f>
        <v>1.7666666666666666</v>
      </c>
      <c r="AO32" s="39">
        <f>AVERAGE(AO2:AO31)</f>
        <v>46.166666666666664</v>
      </c>
      <c r="AP32" s="40">
        <f>AVERAGE(AP2:AP31)</f>
        <v>0.14370122630992196</v>
      </c>
      <c r="AQ32" s="40">
        <f>AVERAGE(AQ2:AQ31)</f>
        <v>0.23246970916617332</v>
      </c>
      <c r="AR32" s="39">
        <f>AVERAGE(AR2:AR31)</f>
        <v>237.43333333333334</v>
      </c>
      <c r="AS32" s="39">
        <f>AVERAGE(AS2:AS31)</f>
        <v>70.166666666666671</v>
      </c>
      <c r="AT32" s="39">
        <f>AVERAGE(AT2:AT31)</f>
        <v>322.23333333333335</v>
      </c>
      <c r="AU32" s="39">
        <f>AVERAGE(AU2:AU31)</f>
        <v>7.7666666666666666</v>
      </c>
      <c r="AV32" s="39">
        <f>AVERAGE(AV2:AV31)</f>
        <v>3.6</v>
      </c>
      <c r="AW32" s="39">
        <f>AVERAGE(AW2:AW31)</f>
        <v>3.5666666666666669</v>
      </c>
      <c r="AX32" s="39">
        <f>AVERAGE(AX2:AX31)</f>
        <v>1</v>
      </c>
      <c r="AY32" s="40">
        <f>AVERAGE(AY2:AY31)</f>
        <v>3.1424561771689577E-2</v>
      </c>
      <c r="AZ32" s="40">
        <f>AVERAGE(AZ2:AZ31)</f>
        <v>3.1449069027911038E-2</v>
      </c>
      <c r="BA32" s="40">
        <f>AVERAGE(BA2:BA31)</f>
        <v>1.359241511865655E-2</v>
      </c>
      <c r="BB32" s="40">
        <f>AVERAGE(BB2:BB31)</f>
        <v>7.7882089106684343E-3</v>
      </c>
      <c r="BC32" s="40">
        <f>AVERAGE(BC2:BC31)</f>
        <v>4.1499865025213918E-2</v>
      </c>
      <c r="BD32" s="40">
        <f>AVERAGE(BD2:BD31)</f>
        <v>4.9000000000000004</v>
      </c>
      <c r="BE32" s="40">
        <f>AVERAGE(BE2:BE31)</f>
        <v>2.7333333333333334</v>
      </c>
      <c r="BF32" s="40">
        <f>AVERAGE(BF2:BF31)</f>
        <v>2.1666666666666665</v>
      </c>
      <c r="BG32" s="3"/>
      <c r="BH32" s="3"/>
      <c r="BI32" s="3" t="s">
        <v>72</v>
      </c>
      <c r="BJ32" s="38">
        <f>AVERAGE(BJ2:BJ31)</f>
        <v>0.4913904425389396</v>
      </c>
      <c r="BK32" s="38">
        <f>AVERAGE(BK2:BK31)</f>
        <v>0.5086095574610604</v>
      </c>
      <c r="BL32" s="39">
        <f>AVERAGE(BL2:BL31)</f>
        <v>1402.7533333333333</v>
      </c>
      <c r="BM32" s="39">
        <f>AVERAGE(BM2:BM31)</f>
        <v>15.033333333333333</v>
      </c>
      <c r="BN32" s="39">
        <f>AVERAGE(BN2:BN31)</f>
        <v>2.1233333333333331</v>
      </c>
      <c r="BO32" s="39">
        <f>AVERAGE(BO2:BO31)</f>
        <v>2.7933333333333343</v>
      </c>
      <c r="BP32" s="39">
        <f>AVERAGE(BP2:BP31)</f>
        <v>486.2</v>
      </c>
      <c r="BQ32" s="39">
        <f>AVERAGE(BQ2:BQ31)</f>
        <v>112.2</v>
      </c>
      <c r="BR32" s="39">
        <f>AVERAGE(BR2:BR31)</f>
        <v>1.1666666666666667</v>
      </c>
      <c r="BS32" s="39">
        <f>AVERAGE(BS2:BS31)</f>
        <v>69.333333333333329</v>
      </c>
      <c r="BT32" s="40">
        <f>AVERAGE(BT2:BT31)</f>
        <v>0.18754790127730533</v>
      </c>
      <c r="BU32" s="40">
        <f>AVERAGE(BU2:BU31)</f>
        <v>0.27823145291960016</v>
      </c>
      <c r="BV32" s="39">
        <f>AVERAGE(BV2:BV31)</f>
        <v>201.1</v>
      </c>
      <c r="BW32" s="39">
        <f>AVERAGE(BW2:BW31)</f>
        <v>67.666666666666671</v>
      </c>
      <c r="BX32" s="39">
        <f>AVERAGE(BX2:BX31)</f>
        <v>281.53333333333336</v>
      </c>
      <c r="BY32" s="39">
        <f>AVERAGE(BY2:BY31)</f>
        <v>21.266666666666666</v>
      </c>
      <c r="BZ32" s="39">
        <f>AVERAGE(BZ2:BZ31)</f>
        <v>7.5666666666666664</v>
      </c>
      <c r="CA32" s="39">
        <f>AVERAGE(CA2:CA31)</f>
        <v>7.666666666666667</v>
      </c>
      <c r="CB32" s="39">
        <f>AVERAGE(CB2:CB31)</f>
        <v>1.9</v>
      </c>
      <c r="CC32" s="40">
        <f>AVERAGE(CC2:CC31)</f>
        <v>0.10059349889218347</v>
      </c>
      <c r="CD32" s="40">
        <f>AVERAGE(CD2:CD31)</f>
        <v>7.8336680516085472E-2</v>
      </c>
      <c r="CE32" s="40">
        <f>AVERAGE(CE2:CE31)</f>
        <v>2.9954288325405976E-2</v>
      </c>
      <c r="CF32" s="40">
        <f>AVERAGE(CF2:CF31)</f>
        <v>2.2169561010563728E-2</v>
      </c>
      <c r="CG32" s="40">
        <f>AVERAGE(CG2:CG31)</f>
        <v>0.11246817214207469</v>
      </c>
      <c r="CH32" s="40">
        <f>AVERAGE(CH2:CH31)</f>
        <v>5.9333333333333336</v>
      </c>
      <c r="CI32" s="40">
        <f>AVERAGE(CI2:CI31)</f>
        <v>3.3333333333333335</v>
      </c>
      <c r="CJ32" s="40">
        <f>AVERAGE(CJ2:CJ31)</f>
        <v>2.6</v>
      </c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</row>
    <row r="33" spans="1:494" s="2" customFormat="1" x14ac:dyDescent="0.2">
      <c r="A33" s="3" t="s">
        <v>73</v>
      </c>
      <c r="B33" s="38">
        <f>STDEV(B3:B32)</f>
        <v>0.17557069085035051</v>
      </c>
      <c r="C33" s="38">
        <f>STDEV(C3:C32)</f>
        <v>0.17557069085035068</v>
      </c>
      <c r="D33" s="54">
        <f>STDEV(D3:D32)</f>
        <v>528.30775018206919</v>
      </c>
      <c r="E33" s="54">
        <f>STDEV(E3:E32)</f>
        <v>6.8615235733127475</v>
      </c>
      <c r="F33" s="54">
        <f>STDEV(F3:F32)</f>
        <v>0.7025327378599564</v>
      </c>
      <c r="G33" s="39">
        <f>STDEV(G3:G32)</f>
        <v>0.94516896257552308</v>
      </c>
      <c r="H33" s="39">
        <f>STDEV(H3:H32)</f>
        <v>98.068620800417307</v>
      </c>
      <c r="I33" s="39">
        <f>STDEV(I3:I32)</f>
        <v>98.068620800417307</v>
      </c>
      <c r="J33" s="39">
        <f>STDEV(J3:J32)</f>
        <v>1.2763313485794114</v>
      </c>
      <c r="K33" s="54">
        <f>STDEV(K3:K32)</f>
        <v>47.631745946840113</v>
      </c>
      <c r="L33" s="55">
        <f>STDEV(L3:L32)</f>
        <v>0.16399434916457745</v>
      </c>
      <c r="M33" s="55">
        <f>STDEV(M3:M32)</f>
        <v>0.14175233125048886</v>
      </c>
      <c r="N33" s="39">
        <f>STDEV(N3:N32)</f>
        <v>78.627634230105429</v>
      </c>
      <c r="O33" s="39">
        <f>STDEV(O3:O32)</f>
        <v>49.342203613856405</v>
      </c>
      <c r="P33" s="39">
        <f>STDEV(P3:P32)</f>
        <v>93.454375185859163</v>
      </c>
      <c r="Q33" s="39">
        <f>STDEV(Q3:Q32)</f>
        <v>20.935766904692354</v>
      </c>
      <c r="R33" s="39">
        <f>STDEV(R3:R32)</f>
        <v>21.06135160168764</v>
      </c>
      <c r="S33" s="39">
        <f>STDEV(S3:S32)</f>
        <v>20.436054989905632</v>
      </c>
      <c r="T33" s="39">
        <f>STDEV(T3:T32)</f>
        <v>1.8174789916412986</v>
      </c>
      <c r="U33" s="40">
        <f>STDEV(U3:U32)</f>
        <v>7.6342836351519047E-2</v>
      </c>
      <c r="V33" s="40">
        <f>STDEV(V3:V32)</f>
        <v>0.13271853339367481</v>
      </c>
      <c r="W33" s="40">
        <f>STDEV(W3:W32)</f>
        <v>7.5796473457950597E-2</v>
      </c>
      <c r="X33" s="40">
        <f>STDEV(X3:X32)</f>
        <v>1.2742785541768055E-2</v>
      </c>
      <c r="Y33" s="40">
        <f>STDEV(Y3:Y32)</f>
        <v>9.2058556904108815E-2</v>
      </c>
      <c r="Z33" s="40">
        <f>STDEV(Z3:Z32)</f>
        <v>3.6326629491560509</v>
      </c>
      <c r="AA33" s="40">
        <f>STDEV(AA3:AA32)</f>
        <v>2.0620579560353125</v>
      </c>
      <c r="AB33" s="40">
        <f>STDEV(AB3:AB32)</f>
        <v>1.7757861209565371</v>
      </c>
      <c r="AC33" s="3"/>
      <c r="AD33" s="3"/>
      <c r="AE33" s="3" t="s">
        <v>73</v>
      </c>
      <c r="AF33" s="38">
        <f>STDEV(AF3:AF32)</f>
        <v>0.1335225459287388</v>
      </c>
      <c r="AG33" s="38">
        <f>STDEV(AG3:AG32)</f>
        <v>0.13352254592873961</v>
      </c>
      <c r="AH33" s="39">
        <f>STDEV(AH3:AH32)</f>
        <v>832.84594730451761</v>
      </c>
      <c r="AI33" s="39">
        <f>STDEV(AI3:AI32)</f>
        <v>8.4554407129412184</v>
      </c>
      <c r="AJ33" s="39">
        <f>STDEV(AJ3:AJ32)</f>
        <v>1.4974652913675741</v>
      </c>
      <c r="AK33" s="39">
        <f>STDEV(AK3:AK32)</f>
        <v>1.3528864228206168</v>
      </c>
      <c r="AL33" s="39">
        <f>STDEV(AL3:AL32)</f>
        <v>132.87214202066446</v>
      </c>
      <c r="AM33" s="39">
        <f>STDEV(AM3:AM32)</f>
        <v>132.87214202066451</v>
      </c>
      <c r="AN33" s="39">
        <f>STDEV(AN3:AN32)</f>
        <v>3.658440964911422</v>
      </c>
      <c r="AO33" s="39">
        <f>STDEV(AO3:AO32)</f>
        <v>52.719013766533649</v>
      </c>
      <c r="AP33" s="40">
        <f>STDEV(AP3:AP32)</f>
        <v>0.22219421742586032</v>
      </c>
      <c r="AQ33" s="40">
        <f>STDEV(AQ3:AQ32)</f>
        <v>0.22533614464836998</v>
      </c>
      <c r="AR33" s="39">
        <f>STDEV(AR3:AR32)</f>
        <v>91.254731545132515</v>
      </c>
      <c r="AS33" s="39">
        <f>STDEV(AS3:AS32)</f>
        <v>60.368029702957131</v>
      </c>
      <c r="AT33" s="39">
        <f>STDEV(AT3:AT32)</f>
        <v>77.801456557065833</v>
      </c>
      <c r="AU33" s="39">
        <f>STDEV(AU3:AU32)</f>
        <v>16.392498245321267</v>
      </c>
      <c r="AV33" s="39">
        <f>STDEV(AV3:AV32)</f>
        <v>11.023185596262778</v>
      </c>
      <c r="AW33" s="39">
        <f>STDEV(AW3:AW32)</f>
        <v>9.5324719622649052</v>
      </c>
      <c r="AX33" s="39">
        <f>STDEV(AX3:AX32)</f>
        <v>2.8464537323790653</v>
      </c>
      <c r="AY33" s="40">
        <f>STDEV(AY3:AY32)</f>
        <v>6.3864006099635218E-2</v>
      </c>
      <c r="AZ33" s="40">
        <f>STDEV(AZ3:AZ32)</f>
        <v>8.962392880716194E-2</v>
      </c>
      <c r="BA33" s="40">
        <f>STDEV(BA3:BA32)</f>
        <v>3.3907111796739151E-2</v>
      </c>
      <c r="BB33" s="40">
        <f>STDEV(BB3:BB32)</f>
        <v>2.0124519680742685E-2</v>
      </c>
      <c r="BC33" s="40">
        <f>STDEV(BC3:BC32)</f>
        <v>8.0570414592529394E-2</v>
      </c>
      <c r="BD33" s="40">
        <f>STDEV(BD3:BD32)</f>
        <v>6.7056581015372867</v>
      </c>
      <c r="BE33" s="40">
        <f>STDEV(BE3:BE32)</f>
        <v>4.0032834544093152</v>
      </c>
      <c r="BF33" s="40">
        <f>STDEV(BF3:BF32)</f>
        <v>3.3257624751128052</v>
      </c>
      <c r="BG33" s="3"/>
      <c r="BH33" s="3"/>
      <c r="BI33" s="3" t="s">
        <v>73</v>
      </c>
      <c r="BJ33" s="38">
        <f>STDEV(BJ3:BJ32)</f>
        <v>0.14036327953848149</v>
      </c>
      <c r="BK33" s="38">
        <f>STDEV(BK3:BK32)</f>
        <v>0.14036327953848227</v>
      </c>
      <c r="BL33" s="39">
        <f>STDEV(BL3:BL32)</f>
        <v>860.73060755153915</v>
      </c>
      <c r="BM33" s="39">
        <f>STDEV(BM3:BM32)</f>
        <v>10.061643274809907</v>
      </c>
      <c r="BN33" s="39">
        <f>STDEV(BN3:BN32)</f>
        <v>1.1047635219067877</v>
      </c>
      <c r="BO33" s="39">
        <f>STDEV(BO3:BO32)</f>
        <v>1.742589549985603</v>
      </c>
      <c r="BP33" s="39">
        <f>STDEV(BP3:BP32)</f>
        <v>126.25826277729404</v>
      </c>
      <c r="BQ33" s="39">
        <f>STDEV(BQ3:BQ32)</f>
        <v>126.11223773189947</v>
      </c>
      <c r="BR33" s="39">
        <f>STDEV(BR3:BR32)</f>
        <v>2.7086081499238626</v>
      </c>
      <c r="BS33" s="39">
        <f>STDEV(BS3:BS32)</f>
        <v>120.34519103971581</v>
      </c>
      <c r="BT33" s="40">
        <f>STDEV(BT3:BT32)</f>
        <v>0.21089558014446472</v>
      </c>
      <c r="BU33" s="40">
        <f>STDEV(BU3:BU32)</f>
        <v>0.23990967660000392</v>
      </c>
      <c r="BV33" s="39">
        <f>STDEV(BV3:BV32)</f>
        <v>101.80235239925932</v>
      </c>
      <c r="BW33" s="39">
        <f>STDEV(BW3:BW32)</f>
        <v>56.212819697465086</v>
      </c>
      <c r="BX33" s="39">
        <f>STDEV(BX3:BX32)</f>
        <v>95.703075187035921</v>
      </c>
      <c r="BY33" s="39">
        <f>STDEV(BY3:BY32)</f>
        <v>30.746112651314235</v>
      </c>
      <c r="BZ33" s="39">
        <f>STDEV(BZ3:BZ32)</f>
        <v>15.389431820235624</v>
      </c>
      <c r="CA33" s="39">
        <f>STDEV(CA3:CA32)</f>
        <v>16.479799159336142</v>
      </c>
      <c r="CB33" s="39">
        <f>STDEV(CB3:CB32)</f>
        <v>3.5280631917608094</v>
      </c>
      <c r="CC33" s="40">
        <f>STDEV(CC3:CC32)</f>
        <v>0.12490143250845112</v>
      </c>
      <c r="CD33" s="40">
        <f>STDEV(CD3:CD32)</f>
        <v>0.13875951996780758</v>
      </c>
      <c r="CE33" s="40">
        <f>STDEV(CE3:CE32)</f>
        <v>6.0270515006291603E-2</v>
      </c>
      <c r="CF33" s="40">
        <f>STDEV(CF3:CF32)</f>
        <v>3.9251559817828199E-2</v>
      </c>
      <c r="CG33" s="40">
        <f>STDEV(CG3:CG32)</f>
        <v>0.12247560996755927</v>
      </c>
      <c r="CH33" s="40">
        <f>STDEV(CH3:CH32)</f>
        <v>8.8292570656910989</v>
      </c>
      <c r="CI33" s="40">
        <f>STDEV(CI3:CI32)</f>
        <v>5.7331016615404709</v>
      </c>
      <c r="CJ33" s="40">
        <f>STDEV(CJ3:CJ32)</f>
        <v>4.1628681536133012</v>
      </c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</row>
    <row r="34" spans="1:494" s="2" customFormat="1" x14ac:dyDescent="0.2">
      <c r="A34" s="3" t="s">
        <v>74</v>
      </c>
      <c r="B34" s="38">
        <f>STDEV(B4:B33)/SQRT(30)</f>
        <v>3.3538797062216526E-2</v>
      </c>
      <c r="C34" s="38">
        <f>STDEV(C4:C33)/SQRT(30)</f>
        <v>3.3679324638509735E-2</v>
      </c>
      <c r="D34" s="54">
        <f>STDEV(D4:D33)/SQRT(30)</f>
        <v>100.06451237065431</v>
      </c>
      <c r="E34" s="54">
        <f>STDEV(E4:E33)/SQRT(30)</f>
        <v>1.283670258677083</v>
      </c>
      <c r="F34" s="54">
        <f>STDEV(F4:F33)/SQRT(30)</f>
        <v>0.13815919497500262</v>
      </c>
      <c r="G34" s="39">
        <f>STDEV(G4:G33)/SQRT(30)</f>
        <v>0.17825826769572406</v>
      </c>
      <c r="H34" s="39">
        <f>STDEV(H4:H33)/SQRT(30)</f>
        <v>22.705099330712731</v>
      </c>
      <c r="I34" s="39">
        <f>STDEV(I4:I33)/SQRT(30)</f>
        <v>17.878087569640179</v>
      </c>
      <c r="J34" s="39">
        <f>STDEV(J4:J33)/SQRT(30)</f>
        <v>0.23387146469526446</v>
      </c>
      <c r="K34" s="54">
        <f>STDEV(K4:K33)/SQRT(30)</f>
        <v>8.5919540740491058</v>
      </c>
      <c r="L34" s="55">
        <f>STDEV(L4:L33)/SQRT(30)</f>
        <v>2.9896467507759494E-2</v>
      </c>
      <c r="M34" s="55">
        <f>STDEV(M4:M33)/SQRT(30)</f>
        <v>2.5935541784664465E-2</v>
      </c>
      <c r="N34" s="57">
        <f>STDEV(N4:N33)/SQRT(30)</f>
        <v>14.841182941629885</v>
      </c>
      <c r="O34" s="39">
        <f>STDEV(O4:O33)/SQRT(30)</f>
        <v>9.0087350534054611</v>
      </c>
      <c r="P34" s="39">
        <f>STDEV(P4:P33)/SQRT(30)</f>
        <v>18.044883645170195</v>
      </c>
      <c r="Q34" s="39">
        <f>STDEV(Q4:Q33)/SQRT(30)</f>
        <v>3.8221338066663417</v>
      </c>
      <c r="R34" s="39">
        <f>STDEV(R4:R33)/SQRT(30)</f>
        <v>3.8717182483722228</v>
      </c>
      <c r="S34" s="39">
        <f>STDEV(S4:S33)/SQRT(30)</f>
        <v>3.7291401940052169</v>
      </c>
      <c r="T34" s="39">
        <f>STDEV(T4:T33)/SQRT(30)</f>
        <v>0.33372161502913172</v>
      </c>
      <c r="U34" s="40">
        <f>STDEV(U4:U33)/SQRT(30)</f>
        <v>1.3951803023657559E-2</v>
      </c>
      <c r="V34" s="40">
        <f>STDEV(V4:V33)/SQRT(30)</f>
        <v>2.4382597809813715E-2</v>
      </c>
      <c r="W34" s="40">
        <f>STDEV(W4:W33)/SQRT(30)</f>
        <v>1.3852462258617512E-2</v>
      </c>
      <c r="X34" s="40">
        <f>STDEV(X4:X33)/SQRT(30)</f>
        <v>2.3165320591926426E-3</v>
      </c>
      <c r="Y34" s="40">
        <f>STDEV(Y4:Y33)/SQRT(30)</f>
        <v>1.6869376645926804E-2</v>
      </c>
      <c r="Z34" s="40">
        <f>STDEV(Z4:Z33)/SQRT(30)</f>
        <v>0.66400672296225927</v>
      </c>
      <c r="AA34" s="40">
        <f>STDEV(AA4:AA33)/SQRT(30)</f>
        <v>0.37736020119551483</v>
      </c>
      <c r="AB34" s="40">
        <f>STDEV(AB4:AB33)/SQRT(30)</f>
        <v>0.32419498571534228</v>
      </c>
      <c r="AC34" s="3"/>
      <c r="AD34" s="3"/>
      <c r="AE34" s="3" t="s">
        <v>74</v>
      </c>
      <c r="AF34" s="38">
        <f>STDEV(AF4:AF33)/SQRT(30)</f>
        <v>2.6884215603099164E-2</v>
      </c>
      <c r="AG34" s="38">
        <f>STDEV(AG4:AG33)/SQRT(30)</f>
        <v>2.5527393024762552E-2</v>
      </c>
      <c r="AH34" s="39">
        <f>STDEV(AH4:AH33)/SQRT(30)</f>
        <v>153.39243546337096</v>
      </c>
      <c r="AI34" s="39">
        <f>STDEV(AI4:AI33)/SQRT(30)</f>
        <v>1.556926916541759</v>
      </c>
      <c r="AJ34" s="39">
        <f>STDEV(AJ4:AJ33)/SQRT(30)</f>
        <v>0.27461731454358801</v>
      </c>
      <c r="AK34" s="39">
        <f>STDEV(AK4:AK33)/SQRT(30)</f>
        <v>0.24963591138991617</v>
      </c>
      <c r="AL34" s="39">
        <f>STDEV(AL4:AL33)/SQRT(30)</f>
        <v>27.29902114724765</v>
      </c>
      <c r="AM34" s="39">
        <f>STDEV(AM4:AM33)/SQRT(30)</f>
        <v>24.29785736373152</v>
      </c>
      <c r="AN34" s="39">
        <f>STDEV(AN4:AN33)/SQRT(30)</f>
        <v>0.66757598446459565</v>
      </c>
      <c r="AO34" s="39">
        <f>STDEV(AO4:AO33)/SQRT(30)</f>
        <v>9.5602791270195695</v>
      </c>
      <c r="AP34" s="40">
        <f>STDEV(AP4:AP33)/SQRT(30)</f>
        <v>4.0631868501223266E-2</v>
      </c>
      <c r="AQ34" s="40">
        <f>STDEV(AQ4:AQ33)/SQRT(30)</f>
        <v>4.1142285487834988E-2</v>
      </c>
      <c r="AR34" s="39">
        <f>STDEV(AR4:AR33)/SQRT(30)</f>
        <v>16.864490240838443</v>
      </c>
      <c r="AS34" s="39">
        <f>STDEV(AS4:AS33)/SQRT(30)</f>
        <v>10.966912707281786</v>
      </c>
      <c r="AT34" s="39">
        <f>STDEV(AT4:AT33)/SQRT(30)</f>
        <v>15.660018322892315</v>
      </c>
      <c r="AU34" s="39">
        <f>STDEV(AU4:AU33)/SQRT(30)</f>
        <v>2.9960817889453746</v>
      </c>
      <c r="AV34" s="39">
        <f>STDEV(AV4:AV33)/SQRT(30)</f>
        <v>2.0269156761619715</v>
      </c>
      <c r="AW34" s="39">
        <f>STDEV(AW4:AW33)/SQRT(30)</f>
        <v>1.7492183505756249</v>
      </c>
      <c r="AX34" s="39">
        <f>STDEV(AX4:AX33)/SQRT(30)</f>
        <v>0.5190458848323859</v>
      </c>
      <c r="AY34" s="40">
        <f>STDEV(AY4:AY33)/SQRT(30)</f>
        <v>1.1662848786557831E-2</v>
      </c>
      <c r="AZ34" s="40">
        <f>STDEV(AZ4:AZ33)/SQRT(30)</f>
        <v>1.646763089344061E-2</v>
      </c>
      <c r="BA34" s="40">
        <f>STDEV(BA4:BA33)/SQRT(30)</f>
        <v>6.2161020704490323E-3</v>
      </c>
      <c r="BB34" s="40">
        <f>STDEV(BB4:BB33)/SQRT(30)</f>
        <v>3.6322759540191297E-3</v>
      </c>
      <c r="BC34" s="40">
        <f>STDEV(BC4:BC33)/SQRT(30)</f>
        <v>1.4728150417436628E-2</v>
      </c>
      <c r="BD34" s="40">
        <f>STDEV(BD4:BD33)/SQRT(30)</f>
        <v>1.2131770672364446</v>
      </c>
      <c r="BE34" s="40">
        <f>STDEV(BE4:BE33)/SQRT(30)</f>
        <v>0.72548590561878956</v>
      </c>
      <c r="BF34" s="40">
        <f>STDEV(BF4:BF33)/SQRT(30)</f>
        <v>0.60342116927569245</v>
      </c>
      <c r="BG34" s="3"/>
      <c r="BH34" s="3"/>
      <c r="BI34" s="3" t="s">
        <v>74</v>
      </c>
      <c r="BJ34" s="38">
        <f>STDEV(BJ4:BJ33)/SQRT(30)</f>
        <v>2.7285705694619931E-2</v>
      </c>
      <c r="BK34" s="38">
        <f>STDEV(BK4:BK33)/SQRT(30)</f>
        <v>2.779124028705518E-2</v>
      </c>
      <c r="BL34" s="39">
        <f>STDEV(BL4:BL33)/SQRT(30)</f>
        <v>158.19370829486618</v>
      </c>
      <c r="BM34" s="39">
        <f>STDEV(BM4:BM33)/SQRT(30)</f>
        <v>1.8414843363889826</v>
      </c>
      <c r="BN34" s="39">
        <f>STDEV(BN4:BN33)/SQRT(30)</f>
        <v>0.20435257717113645</v>
      </c>
      <c r="BO34" s="39">
        <f>STDEV(BO4:BO33)/SQRT(30)</f>
        <v>0.31973053388874667</v>
      </c>
      <c r="BP34" s="39">
        <f>STDEV(BP4:BP33)/SQRT(30)</f>
        <v>25.649578349621056</v>
      </c>
      <c r="BQ34" s="39">
        <f>STDEV(BQ4:BQ33)/SQRT(30)</f>
        <v>22.731392097586586</v>
      </c>
      <c r="BR34" s="39">
        <f>STDEV(BR4:BR33)/SQRT(30)</f>
        <v>0.49517376046029288</v>
      </c>
      <c r="BS34" s="39">
        <f>STDEV(BS4:BS33)/SQRT(30)</f>
        <v>22.032298923616612</v>
      </c>
      <c r="BT34" s="40">
        <f>STDEV(BT4:BT33)/SQRT(30)</f>
        <v>3.8013872663134017E-2</v>
      </c>
      <c r="BU34" s="40">
        <f>STDEV(BU4:BU33)/SQRT(30)</f>
        <v>4.3294375824557592E-2</v>
      </c>
      <c r="BV34" s="39">
        <f>STDEV(BV4:BV33)/SQRT(30)</f>
        <v>17.923829682150703</v>
      </c>
      <c r="BW34" s="39">
        <f>STDEV(BW4:BW33)/SQRT(30)</f>
        <v>10.201899719321798</v>
      </c>
      <c r="BX34" s="39">
        <f>STDEV(BX4:BX33)/SQRT(30)</f>
        <v>17.954694677619354</v>
      </c>
      <c r="BY34" s="39">
        <f>STDEV(BY4:BY33)/SQRT(30)</f>
        <v>5.5703767354175335</v>
      </c>
      <c r="BZ34" s="39">
        <f>STDEV(BZ4:BZ33)/SQRT(30)</f>
        <v>2.8073154334888319</v>
      </c>
      <c r="CA34" s="39">
        <f>STDEV(CA4:CA33)/SQRT(30)</f>
        <v>3.0090567038827785</v>
      </c>
      <c r="CB34" s="39">
        <f>STDEV(CB4:CB33)/SQRT(30)</f>
        <v>0.64250628223227535</v>
      </c>
      <c r="CC34" s="40">
        <f>STDEV(CC4:CC33)/SQRT(30)</f>
        <v>2.2535109126976049E-2</v>
      </c>
      <c r="CD34" s="40">
        <f>STDEV(CD4:CD33)/SQRT(30)</f>
        <v>2.524636630863971E-2</v>
      </c>
      <c r="CE34" s="40">
        <f>STDEV(CE4:CE33)/SQRT(30)</f>
        <v>1.0992363427974893E-2</v>
      </c>
      <c r="CF34" s="40">
        <f>STDEV(CF4:CF33)/SQRT(30)</f>
        <v>7.1414928026755703E-3</v>
      </c>
      <c r="CG34" s="40">
        <f>STDEV(CG4:CG33)/SQRT(30)</f>
        <v>2.2004825999430568E-2</v>
      </c>
      <c r="CH34" s="40">
        <f>STDEV(CH4:CH33)/SQRT(30)</f>
        <v>1.6004299669732074</v>
      </c>
      <c r="CI34" s="40">
        <f>STDEV(CI4:CI33)/SQRT(30)</f>
        <v>1.042467962713054</v>
      </c>
      <c r="CJ34" s="40">
        <f>STDEV(CJ4:CJ33)/SQRT(30)</f>
        <v>0.75598419920572002</v>
      </c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</row>
    <row r="35" spans="1:494" s="2" customFormat="1" x14ac:dyDescent="0.2">
      <c r="A35" s="3"/>
      <c r="B35" s="3"/>
      <c r="C35" s="3"/>
      <c r="D35" s="19"/>
      <c r="E35" s="19"/>
      <c r="F35" s="19"/>
      <c r="G35" s="3"/>
      <c r="H35" s="3"/>
      <c r="I35" s="3"/>
      <c r="J35" s="3"/>
      <c r="K35" s="19"/>
      <c r="L35" s="19"/>
      <c r="M35" s="19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</row>
    <row r="36" spans="1:494" s="2" customFormat="1" x14ac:dyDescent="0.2">
      <c r="A36" s="3"/>
      <c r="B36" s="3"/>
      <c r="C36" s="3"/>
      <c r="D36" s="19"/>
      <c r="E36" s="19"/>
      <c r="F36" s="19"/>
      <c r="G36" s="3"/>
      <c r="H36" s="3"/>
      <c r="I36" s="3"/>
      <c r="J36" s="3"/>
      <c r="K36" s="19"/>
      <c r="L36" s="19"/>
      <c r="M36" s="19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</row>
    <row r="37" spans="1:494" s="2" customFormat="1" x14ac:dyDescent="0.2">
      <c r="A37" s="3"/>
      <c r="B37" s="3"/>
      <c r="C37" s="3"/>
      <c r="D37" s="19"/>
      <c r="E37" s="19"/>
      <c r="F37" s="19"/>
      <c r="G37" s="3"/>
      <c r="H37" s="3"/>
      <c r="I37" s="3"/>
      <c r="J37" s="3"/>
      <c r="K37" s="19"/>
      <c r="L37" s="19"/>
      <c r="M37" s="19"/>
      <c r="N37" s="4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4"/>
      <c r="AW37" s="4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</row>
    <row r="38" spans="1:494" s="2" customFormat="1" x14ac:dyDescent="0.2">
      <c r="A38" s="3"/>
      <c r="B38" s="3"/>
      <c r="C38" s="3"/>
      <c r="D38" s="19"/>
      <c r="E38" s="19"/>
      <c r="F38" s="19"/>
      <c r="G38" s="3"/>
      <c r="H38" s="3"/>
      <c r="I38" s="3"/>
      <c r="J38" s="3"/>
      <c r="K38" s="19"/>
      <c r="L38" s="19"/>
      <c r="M38" s="19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</row>
    <row r="39" spans="1:494" s="2" customFormat="1" x14ac:dyDescent="0.2">
      <c r="A39" s="3"/>
      <c r="B39" s="3"/>
      <c r="C39" s="3"/>
      <c r="D39" s="19"/>
      <c r="E39" s="19"/>
      <c r="F39" s="19"/>
      <c r="G39" s="3"/>
      <c r="H39" s="3"/>
      <c r="I39" s="3"/>
      <c r="J39" s="3"/>
      <c r="K39" s="19"/>
      <c r="L39" s="19"/>
      <c r="M39" s="19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</row>
    <row r="40" spans="1:494" s="2" customFormat="1" x14ac:dyDescent="0.2">
      <c r="A40" s="3"/>
      <c r="B40" s="3"/>
      <c r="C40" s="3"/>
      <c r="D40" s="19"/>
      <c r="E40" s="19"/>
      <c r="F40" s="19"/>
      <c r="G40" s="3"/>
      <c r="H40" s="3"/>
      <c r="I40" s="3"/>
      <c r="J40" s="3"/>
      <c r="K40" s="19"/>
      <c r="L40" s="19"/>
      <c r="M40" s="19"/>
      <c r="N40" s="4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</row>
    <row r="41" spans="1:494" s="2" customFormat="1" x14ac:dyDescent="0.2">
      <c r="A41" s="3"/>
      <c r="B41" s="3"/>
      <c r="C41" s="3"/>
      <c r="D41" s="19"/>
      <c r="E41" s="19"/>
      <c r="F41" s="19"/>
      <c r="G41" s="3"/>
      <c r="H41" s="3"/>
      <c r="I41" s="3"/>
      <c r="J41" s="3"/>
      <c r="K41" s="19"/>
      <c r="L41" s="19"/>
      <c r="M41" s="19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</row>
    <row r="42" spans="1:494" s="2" customFormat="1" x14ac:dyDescent="0.2">
      <c r="A42" s="3"/>
      <c r="B42" s="3"/>
      <c r="C42" s="3"/>
      <c r="D42" s="19"/>
      <c r="E42" s="19"/>
      <c r="F42" s="19"/>
      <c r="G42" s="3"/>
      <c r="H42" s="3"/>
      <c r="I42" s="3"/>
      <c r="J42" s="3"/>
      <c r="K42" s="19"/>
      <c r="L42" s="19"/>
      <c r="M42" s="19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</row>
    <row r="43" spans="1:494" s="2" customFormat="1" x14ac:dyDescent="0.2">
      <c r="A43" s="3"/>
      <c r="B43" s="3"/>
      <c r="C43" s="3"/>
      <c r="D43" s="19"/>
      <c r="E43" s="19"/>
      <c r="F43" s="19"/>
      <c r="G43" s="3"/>
      <c r="H43" s="3"/>
      <c r="I43" s="3"/>
      <c r="J43" s="3"/>
      <c r="K43" s="19"/>
      <c r="L43" s="19"/>
      <c r="M43" s="19"/>
      <c r="N43" s="4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</row>
    <row r="44" spans="1:494" s="2" customFormat="1" x14ac:dyDescent="0.2">
      <c r="A44" s="3"/>
      <c r="B44" s="3"/>
      <c r="C44" s="3"/>
      <c r="D44" s="19"/>
      <c r="E44" s="19"/>
      <c r="F44" s="19"/>
      <c r="G44" s="3"/>
      <c r="H44" s="3"/>
      <c r="I44" s="3"/>
      <c r="J44" s="3"/>
      <c r="K44" s="19"/>
      <c r="L44" s="19"/>
      <c r="M44" s="19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</row>
    <row r="45" spans="1:494" s="2" customFormat="1" x14ac:dyDescent="0.2">
      <c r="A45" s="3"/>
      <c r="B45" s="3"/>
      <c r="C45" s="3"/>
      <c r="D45" s="19"/>
      <c r="E45" s="19"/>
      <c r="F45" s="19"/>
      <c r="G45" s="3"/>
      <c r="H45" s="3"/>
      <c r="I45" s="3"/>
      <c r="J45" s="3"/>
      <c r="K45" s="19"/>
      <c r="L45" s="19"/>
      <c r="M45" s="19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</row>
    <row r="46" spans="1:494" s="6" customFormat="1" x14ac:dyDescent="0.2">
      <c r="A46" s="4"/>
      <c r="B46" s="4"/>
      <c r="C46" s="3"/>
      <c r="D46" s="19"/>
      <c r="E46" s="19"/>
      <c r="F46" s="19"/>
      <c r="G46" s="3"/>
      <c r="H46" s="3"/>
      <c r="I46" s="3"/>
      <c r="J46" s="3"/>
      <c r="K46" s="19"/>
      <c r="L46" s="19"/>
      <c r="M46" s="19"/>
      <c r="N46" s="4"/>
      <c r="O46" s="4"/>
      <c r="P46" s="3"/>
      <c r="Q46" s="4"/>
      <c r="R46" s="4"/>
      <c r="S46" s="3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</row>
    <row r="47" spans="1:494" s="2" customFormat="1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19"/>
      <c r="L47" s="19"/>
      <c r="M47" s="19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</row>
    <row r="48" spans="1:494" s="2" customFormat="1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19"/>
      <c r="L48" s="19"/>
      <c r="M48" s="19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</row>
    <row r="49" spans="1:494" s="2" customFormat="1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11"/>
      <c r="L49" s="3"/>
      <c r="M49" s="12"/>
      <c r="N49" s="4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</row>
    <row r="50" spans="1:494" s="2" customFormat="1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12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</row>
    <row r="51" spans="1:494" s="6" customFormat="1" x14ac:dyDescent="0.2">
      <c r="A51" s="4"/>
      <c r="B51" s="4"/>
      <c r="C51" s="4"/>
      <c r="D51" s="4"/>
      <c r="E51" s="4"/>
      <c r="F51" s="4"/>
      <c r="G51" s="4"/>
      <c r="H51" s="3"/>
      <c r="I51" s="4"/>
      <c r="J51" s="3"/>
      <c r="K51" s="4"/>
      <c r="L51" s="3"/>
      <c r="M51" s="12"/>
      <c r="N51" s="3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</row>
    <row r="52" spans="1:494" s="2" customFormat="1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12"/>
      <c r="N52" s="4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</row>
    <row r="53" spans="1:494" s="2" customFormat="1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12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</row>
    <row r="54" spans="1:494" s="2" customFormat="1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12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</row>
    <row r="55" spans="1:494" s="2" customFormat="1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12"/>
      <c r="N55" s="4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</row>
    <row r="56" spans="1:494" s="2" customFormat="1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</row>
    <row r="57" spans="1:494" s="2" customFormat="1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</row>
    <row r="58" spans="1:494" s="2" customFormat="1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</row>
    <row r="59" spans="1:494" s="2" customFormat="1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</row>
    <row r="60" spans="1:494" s="2" customFormat="1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</row>
    <row r="61" spans="1:494" s="6" customFormat="1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</row>
    <row r="62" spans="1:494" s="2" customFormat="1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</row>
    <row r="63" spans="1:494" s="2" customFormat="1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</row>
    <row r="64" spans="1:494" s="2" customFormat="1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</row>
    <row r="65" spans="1:494" s="2" customForma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</row>
    <row r="66" spans="1:494" s="2" customForma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</row>
    <row r="67" spans="1:494" s="2" customFormat="1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</row>
    <row r="68" spans="1:494" s="2" customForma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</row>
    <row r="69" spans="1:494" s="2" customForma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</row>
    <row r="70" spans="1:494" s="2" customForma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</row>
    <row r="71" spans="1:494" s="2" customForma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</row>
    <row r="72" spans="1:494" s="2" customForma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</row>
    <row r="73" spans="1:494" s="2" customForma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</row>
    <row r="74" spans="1:494" s="2" customFormat="1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</row>
    <row r="75" spans="1:494" s="2" customForma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</row>
    <row r="76" spans="1:494" s="2" customForma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</row>
    <row r="77" spans="1:494" s="2" customForma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</row>
    <row r="78" spans="1:494" s="2" customForma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</row>
    <row r="79" spans="1:494" s="2" customForma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</row>
    <row r="80" spans="1:494" s="2" customForma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</row>
    <row r="81" spans="1:494" s="2" customForma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</row>
    <row r="82" spans="1:494" s="2" customForma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</row>
    <row r="83" spans="1:494" s="2" customForma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</row>
    <row r="84" spans="1:494" s="2" customForma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</row>
    <row r="85" spans="1:494" s="2" customForma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</row>
    <row r="86" spans="1:494" s="2" customForma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</row>
    <row r="87" spans="1:494" s="2" customForma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</row>
    <row r="88" spans="1:494" s="2" customForma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</row>
    <row r="89" spans="1:494" s="2" customForma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</row>
    <row r="90" spans="1:494" s="2" customForma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</row>
    <row r="91" spans="1:494" s="2" customForma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</row>
    <row r="92" spans="1:494" s="2" customForma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</row>
    <row r="93" spans="1:494" s="2" customForma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</row>
    <row r="94" spans="1:494" s="2" customForma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</row>
    <row r="95" spans="1:494" s="2" customForma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</row>
    <row r="96" spans="1:494" s="2" customForma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</row>
    <row r="97" spans="1:494" s="2" customForma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</row>
    <row r="98" spans="1:494" s="2" customForma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</row>
    <row r="99" spans="1:494" s="2" customForma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</row>
    <row r="100" spans="1:494" s="2" customForma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</row>
    <row r="101" spans="1:494" s="6" customForma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/>
      <c r="MS101" s="4"/>
      <c r="MT101" s="4"/>
      <c r="MU101" s="4"/>
      <c r="MV101" s="4"/>
      <c r="MW101" s="4"/>
      <c r="MX101" s="4"/>
      <c r="MY101" s="4"/>
      <c r="MZ101" s="4"/>
      <c r="NA101" s="4"/>
      <c r="NB101" s="4"/>
      <c r="NC101" s="4"/>
      <c r="ND101" s="4"/>
      <c r="NE101" s="4"/>
      <c r="NF101" s="4"/>
      <c r="NG101" s="4"/>
      <c r="NH101" s="4"/>
      <c r="NI101" s="4"/>
      <c r="NJ101" s="4"/>
      <c r="NK101" s="4"/>
      <c r="NL101" s="4"/>
      <c r="NM101" s="4"/>
      <c r="NN101" s="4"/>
      <c r="NO101" s="4"/>
      <c r="NP101" s="4"/>
      <c r="NQ101" s="4"/>
      <c r="NR101" s="4"/>
      <c r="NS101" s="4"/>
      <c r="NT101" s="4"/>
      <c r="NU101" s="4"/>
      <c r="NV101" s="4"/>
      <c r="NW101" s="4"/>
      <c r="NX101" s="4"/>
      <c r="NY101" s="4"/>
      <c r="NZ101" s="4"/>
      <c r="OA101" s="4"/>
      <c r="OB101" s="4"/>
      <c r="OC101" s="4"/>
      <c r="OD101" s="4"/>
      <c r="OE101" s="4"/>
      <c r="OF101" s="4"/>
      <c r="OG101" s="4"/>
      <c r="OH101" s="4"/>
      <c r="OI101" s="4"/>
      <c r="OJ101" s="4"/>
      <c r="OK101" s="4"/>
      <c r="OL101" s="4"/>
      <c r="OM101" s="4"/>
      <c r="ON101" s="4"/>
      <c r="OO101" s="4"/>
      <c r="OP101" s="4"/>
      <c r="OQ101" s="4"/>
      <c r="OR101" s="4"/>
      <c r="OS101" s="4"/>
      <c r="OT101" s="4"/>
      <c r="OU101" s="4"/>
      <c r="OV101" s="4"/>
      <c r="OW101" s="4"/>
      <c r="OX101" s="4"/>
      <c r="OY101" s="4"/>
      <c r="OZ101" s="4"/>
      <c r="PA101" s="4"/>
      <c r="PB101" s="4"/>
      <c r="PC101" s="4"/>
      <c r="PD101" s="4"/>
      <c r="PE101" s="4"/>
      <c r="PF101" s="4"/>
      <c r="PG101" s="4"/>
      <c r="PH101" s="4"/>
      <c r="PI101" s="4"/>
      <c r="PJ101" s="4"/>
      <c r="PK101" s="4"/>
      <c r="PL101" s="4"/>
      <c r="PM101" s="4"/>
      <c r="PN101" s="4"/>
      <c r="PO101" s="4"/>
      <c r="PP101" s="4"/>
      <c r="PQ101" s="4"/>
      <c r="PR101" s="4"/>
      <c r="PS101" s="4"/>
      <c r="PT101" s="4"/>
      <c r="PU101" s="4"/>
      <c r="PV101" s="4"/>
      <c r="PW101" s="4"/>
      <c r="PX101" s="4"/>
      <c r="PY101" s="4"/>
      <c r="PZ101" s="4"/>
      <c r="QA101" s="4"/>
      <c r="QB101" s="4"/>
      <c r="QC101" s="4"/>
      <c r="QD101" s="4"/>
      <c r="QE101" s="4"/>
      <c r="QF101" s="4"/>
      <c r="QG101" s="4"/>
      <c r="QH101" s="4"/>
      <c r="QI101" s="4"/>
      <c r="QJ101" s="4"/>
      <c r="QK101" s="4"/>
      <c r="QL101" s="4"/>
      <c r="QM101" s="4"/>
      <c r="QN101" s="4"/>
      <c r="QO101" s="4"/>
      <c r="QP101" s="4"/>
      <c r="QQ101" s="4"/>
      <c r="QR101" s="4"/>
      <c r="QS101" s="4"/>
      <c r="QT101" s="4"/>
      <c r="QU101" s="4"/>
      <c r="QV101" s="4"/>
      <c r="QW101" s="4"/>
      <c r="QX101" s="4"/>
      <c r="QY101" s="4"/>
      <c r="QZ101" s="4"/>
      <c r="RA101" s="4"/>
      <c r="RB101" s="4"/>
      <c r="RC101" s="4"/>
      <c r="RD101" s="4"/>
      <c r="RE101" s="4"/>
      <c r="RF101" s="4"/>
      <c r="RG101" s="4"/>
      <c r="RH101" s="4"/>
      <c r="RI101" s="4"/>
      <c r="RJ101" s="4"/>
      <c r="RK101" s="4"/>
      <c r="RL101" s="4"/>
      <c r="RM101" s="4"/>
      <c r="RN101" s="4"/>
      <c r="RO101" s="4"/>
      <c r="RP101" s="4"/>
      <c r="RQ101" s="4"/>
      <c r="RR101" s="4"/>
      <c r="RS101" s="4"/>
      <c r="RT101" s="4"/>
      <c r="RU101" s="4"/>
      <c r="RV101" s="4"/>
      <c r="RW101" s="4"/>
      <c r="RX101" s="4"/>
      <c r="RY101" s="4"/>
      <c r="RZ101" s="4"/>
    </row>
    <row r="102" spans="1:494" s="2" customForma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</row>
    <row r="103" spans="1:494" s="2" customForma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</row>
    <row r="104" spans="1:494" s="2" customForma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</row>
    <row r="105" spans="1:494" s="2" customForma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</row>
    <row r="106" spans="1:494" s="2" customForma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</row>
    <row r="107" spans="1:494" s="2" customForma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</row>
    <row r="108" spans="1:494" s="2" customForma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</row>
    <row r="109" spans="1:494" s="2" customForma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</row>
    <row r="110" spans="1:494" s="2" customForma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</row>
    <row r="111" spans="1:494" s="2" customForma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</row>
    <row r="112" spans="1:494" s="2" customForma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</row>
    <row r="113" spans="1:494" s="2" customForma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</row>
    <row r="114" spans="1:494" s="2" customForma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</row>
    <row r="115" spans="1:494" s="2" customForma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</row>
    <row r="116" spans="1:494" s="2" customForma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</row>
    <row r="117" spans="1:494" s="2" customForma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</row>
    <row r="118" spans="1:494" s="2" customForma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</row>
    <row r="119" spans="1:494" s="2" customForma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</row>
    <row r="120" spans="1:494" s="2" customForma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</row>
    <row r="121" spans="1:494" s="2" customForma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</row>
    <row r="122" spans="1:494" s="2" customForma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</row>
    <row r="123" spans="1:494" s="2" customForma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</row>
    <row r="124" spans="1:494" s="2" customForma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</row>
    <row r="125" spans="1:494" s="2" customForma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</row>
    <row r="126" spans="1:494" s="2" customForma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</row>
    <row r="127" spans="1:494" s="2" customForma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</row>
    <row r="128" spans="1:494" s="2" customForma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</row>
    <row r="129" spans="1:494" s="2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</row>
    <row r="130" spans="1:494" s="2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</row>
    <row r="131" spans="1:494" s="2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</row>
    <row r="132" spans="1:494" s="2" customForma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</row>
    <row r="133" spans="1:494" s="2" customForma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</row>
    <row r="134" spans="1:494" s="2" customForma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</row>
    <row r="135" spans="1:494" s="2" customForma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</row>
    <row r="136" spans="1:494" s="2" customForma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</row>
    <row r="137" spans="1:494" s="2" customForma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</row>
    <row r="138" spans="1:494" s="2" customForma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</row>
    <row r="139" spans="1:494" s="2" customForma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</row>
    <row r="140" spans="1:494" s="2" customForma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</row>
    <row r="141" spans="1:494" s="2" customForma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</row>
    <row r="142" spans="1:494" s="2" customForma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</row>
    <row r="143" spans="1:494" s="2" customForma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</row>
    <row r="144" spans="1:494" s="2" customForma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</row>
    <row r="145" spans="1:494" s="2" customForma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</row>
    <row r="146" spans="1:494" s="2" customForma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</row>
    <row r="147" spans="1:494" s="2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</row>
    <row r="148" spans="1:494" s="2" customForma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</row>
    <row r="149" spans="1:494" s="2" customForma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</row>
    <row r="150" spans="1:494" s="2" customForma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</row>
    <row r="151" spans="1:494" s="6" customForma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4"/>
      <c r="MN151" s="4"/>
      <c r="MO151" s="4"/>
      <c r="MP151" s="4"/>
      <c r="MQ151" s="4"/>
      <c r="MR151" s="4"/>
      <c r="MS151" s="4"/>
      <c r="MT151" s="4"/>
      <c r="MU151" s="4"/>
      <c r="MV151" s="4"/>
      <c r="MW151" s="4"/>
      <c r="MX151" s="4"/>
      <c r="MY151" s="4"/>
      <c r="MZ151" s="4"/>
      <c r="NA151" s="4"/>
      <c r="NB151" s="4"/>
      <c r="NC151" s="4"/>
      <c r="ND151" s="4"/>
      <c r="NE151" s="4"/>
      <c r="NF151" s="4"/>
      <c r="NG151" s="4"/>
      <c r="NH151" s="4"/>
      <c r="NI151" s="4"/>
      <c r="NJ151" s="4"/>
      <c r="NK151" s="4"/>
      <c r="NL151" s="4"/>
      <c r="NM151" s="4"/>
      <c r="NN151" s="4"/>
      <c r="NO151" s="4"/>
      <c r="NP151" s="4"/>
      <c r="NQ151" s="4"/>
      <c r="NR151" s="4"/>
      <c r="NS151" s="4"/>
      <c r="NT151" s="4"/>
      <c r="NU151" s="4"/>
      <c r="NV151" s="4"/>
      <c r="NW151" s="4"/>
      <c r="NX151" s="4"/>
      <c r="NY151" s="4"/>
      <c r="NZ151" s="4"/>
      <c r="OA151" s="4"/>
      <c r="OB151" s="4"/>
      <c r="OC151" s="4"/>
      <c r="OD151" s="4"/>
      <c r="OE151" s="4"/>
      <c r="OF151" s="4"/>
      <c r="OG151" s="4"/>
      <c r="OH151" s="4"/>
      <c r="OI151" s="4"/>
      <c r="OJ151" s="4"/>
      <c r="OK151" s="4"/>
      <c r="OL151" s="4"/>
      <c r="OM151" s="4"/>
      <c r="ON151" s="4"/>
      <c r="OO151" s="4"/>
      <c r="OP151" s="4"/>
      <c r="OQ151" s="4"/>
      <c r="OR151" s="4"/>
      <c r="OS151" s="4"/>
      <c r="OT151" s="4"/>
      <c r="OU151" s="4"/>
      <c r="OV151" s="4"/>
      <c r="OW151" s="4"/>
      <c r="OX151" s="4"/>
      <c r="OY151" s="4"/>
      <c r="OZ151" s="4"/>
      <c r="PA151" s="4"/>
      <c r="PB151" s="4"/>
      <c r="PC151" s="4"/>
      <c r="PD151" s="4"/>
      <c r="PE151" s="4"/>
      <c r="PF151" s="4"/>
      <c r="PG151" s="4"/>
      <c r="PH151" s="4"/>
      <c r="PI151" s="4"/>
      <c r="PJ151" s="4"/>
      <c r="PK151" s="4"/>
      <c r="PL151" s="4"/>
      <c r="PM151" s="4"/>
      <c r="PN151" s="4"/>
      <c r="PO151" s="4"/>
      <c r="PP151" s="4"/>
      <c r="PQ151" s="4"/>
      <c r="PR151" s="4"/>
      <c r="PS151" s="4"/>
      <c r="PT151" s="4"/>
      <c r="PU151" s="4"/>
      <c r="PV151" s="4"/>
      <c r="PW151" s="4"/>
      <c r="PX151" s="4"/>
      <c r="PY151" s="4"/>
      <c r="PZ151" s="4"/>
      <c r="QA151" s="4"/>
      <c r="QB151" s="4"/>
      <c r="QC151" s="4"/>
      <c r="QD151" s="4"/>
      <c r="QE151" s="4"/>
      <c r="QF151" s="4"/>
      <c r="QG151" s="4"/>
      <c r="QH151" s="4"/>
      <c r="QI151" s="4"/>
      <c r="QJ151" s="4"/>
      <c r="QK151" s="4"/>
      <c r="QL151" s="4"/>
      <c r="QM151" s="4"/>
      <c r="QN151" s="4"/>
      <c r="QO151" s="4"/>
      <c r="QP151" s="4"/>
      <c r="QQ151" s="4"/>
      <c r="QR151" s="4"/>
      <c r="QS151" s="4"/>
      <c r="QT151" s="4"/>
      <c r="QU151" s="4"/>
      <c r="QV151" s="4"/>
      <c r="QW151" s="4"/>
      <c r="QX151" s="4"/>
      <c r="QY151" s="4"/>
      <c r="QZ151" s="4"/>
      <c r="RA151" s="4"/>
      <c r="RB151" s="4"/>
      <c r="RC151" s="4"/>
      <c r="RD151" s="4"/>
      <c r="RE151" s="4"/>
      <c r="RF151" s="4"/>
      <c r="RG151" s="4"/>
      <c r="RH151" s="4"/>
      <c r="RI151" s="4"/>
      <c r="RJ151" s="4"/>
      <c r="RK151" s="4"/>
      <c r="RL151" s="4"/>
      <c r="RM151" s="4"/>
      <c r="RN151" s="4"/>
      <c r="RO151" s="4"/>
      <c r="RP151" s="4"/>
      <c r="RQ151" s="4"/>
      <c r="RR151" s="4"/>
      <c r="RS151" s="4"/>
      <c r="RT151" s="4"/>
      <c r="RU151" s="4"/>
      <c r="RV151" s="4"/>
      <c r="RW151" s="4"/>
      <c r="RX151" s="4"/>
      <c r="RY151" s="4"/>
      <c r="RZ151" s="4"/>
    </row>
    <row r="152" spans="1:494" s="2" customForma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</row>
    <row r="153" spans="1:494" s="2" customForma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</row>
    <row r="154" spans="1:494" s="2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</row>
    <row r="155" spans="1:494" s="2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</row>
    <row r="156" spans="1:494" s="2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</row>
    <row r="157" spans="1:494" s="2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</row>
    <row r="158" spans="1:494" s="2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</row>
    <row r="159" spans="1:494" s="2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</row>
    <row r="160" spans="1:494" s="2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</row>
    <row r="161" spans="1:494" s="2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</row>
    <row r="162" spans="1:494" s="2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</row>
    <row r="163" spans="1:494" s="2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</row>
    <row r="164" spans="1:494" s="2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</row>
    <row r="165" spans="1:494" s="2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</row>
    <row r="166" spans="1:494" s="2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</row>
    <row r="167" spans="1:494" s="2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</row>
    <row r="168" spans="1:494" s="2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</row>
    <row r="169" spans="1:494" s="2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</row>
    <row r="170" spans="1:494" s="2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</row>
    <row r="171" spans="1:494" s="2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</row>
    <row r="172" spans="1:494" s="2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</row>
    <row r="173" spans="1:494" s="2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</row>
    <row r="174" spans="1:494" s="2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</row>
    <row r="175" spans="1:494" s="2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</row>
    <row r="176" spans="1:494" s="2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</row>
    <row r="177" spans="1:494" s="2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</row>
    <row r="178" spans="1:494" s="2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</row>
    <row r="179" spans="1:494" s="2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</row>
    <row r="180" spans="1:494" s="2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</row>
    <row r="181" spans="1:494" s="2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</row>
    <row r="182" spans="1:494" s="2" customForma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</row>
    <row r="183" spans="1:494" s="2" customForma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</row>
    <row r="184" spans="1:494" s="2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</row>
    <row r="185" spans="1:494" s="2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</row>
    <row r="186" spans="1:494" s="2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</row>
    <row r="187" spans="1:494" s="2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</row>
    <row r="188" spans="1:494" s="2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</row>
    <row r="189" spans="1:494" s="2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</row>
    <row r="190" spans="1:494" s="2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</row>
    <row r="191" spans="1:494" s="2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</row>
    <row r="192" spans="1:494" s="2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</row>
    <row r="193" spans="1:494" s="2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</row>
    <row r="194" spans="1:494" s="2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</row>
    <row r="195" spans="1:494" s="2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</row>
    <row r="196" spans="1:494" s="2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</row>
    <row r="197" spans="1:494" s="2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</row>
    <row r="198" spans="1:494" s="2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</row>
    <row r="199" spans="1:494" s="2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</row>
    <row r="200" spans="1:494" s="2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</row>
    <row r="201" spans="1:494" s="6" customForma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4"/>
      <c r="FX201" s="4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4"/>
      <c r="GJ201" s="4"/>
      <c r="GK201" s="4"/>
      <c r="GL201" s="4"/>
      <c r="GM201" s="4"/>
      <c r="GN201" s="4"/>
      <c r="GO201" s="4"/>
      <c r="GP201" s="4"/>
      <c r="GQ201" s="4"/>
      <c r="GR201" s="4"/>
      <c r="GS201" s="4"/>
      <c r="GT201" s="4"/>
      <c r="GU201" s="4"/>
      <c r="GV201" s="4"/>
      <c r="GW201" s="4"/>
      <c r="GX201" s="4"/>
      <c r="GY201" s="4"/>
      <c r="GZ201" s="4"/>
      <c r="HA201" s="4"/>
      <c r="HB201" s="4"/>
      <c r="HC201" s="4"/>
      <c r="HD201" s="4"/>
      <c r="HE201" s="4"/>
      <c r="HF201" s="4"/>
      <c r="HG201" s="4"/>
      <c r="HH201" s="4"/>
      <c r="HI201" s="4"/>
      <c r="HJ201" s="4"/>
      <c r="HK201" s="4"/>
      <c r="HL201" s="4"/>
      <c r="HM201" s="4"/>
      <c r="HN201" s="4"/>
      <c r="HO201" s="4"/>
      <c r="HP201" s="4"/>
      <c r="HQ201" s="4"/>
      <c r="HR201" s="4"/>
      <c r="HS201" s="4"/>
      <c r="HT201" s="4"/>
      <c r="HU201" s="4"/>
      <c r="HV201" s="4"/>
      <c r="HW201" s="4"/>
      <c r="HX201" s="4"/>
      <c r="HY201" s="4"/>
      <c r="HZ201" s="4"/>
      <c r="IA201" s="4"/>
      <c r="IB201" s="4"/>
      <c r="IC201" s="4"/>
      <c r="ID201" s="4"/>
      <c r="IE201" s="4"/>
      <c r="IF201" s="4"/>
      <c r="IG201" s="4"/>
      <c r="IH201" s="4"/>
      <c r="II201" s="4"/>
      <c r="IJ201" s="4"/>
      <c r="IK201" s="4"/>
      <c r="IL201" s="4"/>
      <c r="IM201" s="4"/>
      <c r="IN201" s="4"/>
      <c r="IO201" s="4"/>
      <c r="IP201" s="4"/>
      <c r="IQ201" s="4"/>
      <c r="IR201" s="4"/>
      <c r="IS201" s="4"/>
      <c r="IT201" s="4"/>
      <c r="IU201" s="4"/>
      <c r="IV201" s="4"/>
      <c r="IW201" s="4"/>
      <c r="IX201" s="4"/>
      <c r="IY201" s="4"/>
      <c r="IZ201" s="4"/>
      <c r="JA201" s="4"/>
      <c r="JB201" s="4"/>
      <c r="JC201" s="4"/>
      <c r="JD201" s="4"/>
      <c r="JE201" s="4"/>
      <c r="JF201" s="4"/>
      <c r="JG201" s="4"/>
      <c r="JH201" s="4"/>
      <c r="JI201" s="4"/>
      <c r="JJ201" s="4"/>
      <c r="JK201" s="4"/>
      <c r="JL201" s="4"/>
      <c r="JM201" s="4"/>
      <c r="JN201" s="4"/>
      <c r="JO201" s="4"/>
      <c r="JP201" s="4"/>
      <c r="JQ201" s="4"/>
      <c r="JR201" s="4"/>
      <c r="JS201" s="4"/>
      <c r="JT201" s="4"/>
      <c r="JU201" s="4"/>
      <c r="JV201" s="4"/>
      <c r="JW201" s="4"/>
      <c r="JX201" s="4"/>
      <c r="JY201" s="4"/>
      <c r="JZ201" s="4"/>
      <c r="KA201" s="4"/>
      <c r="KB201" s="4"/>
      <c r="KC201" s="4"/>
      <c r="KD201" s="4"/>
      <c r="KE201" s="4"/>
      <c r="KF201" s="4"/>
      <c r="KG201" s="4"/>
      <c r="KH201" s="4"/>
      <c r="KI201" s="4"/>
      <c r="KJ201" s="4"/>
      <c r="KK201" s="4"/>
      <c r="KL201" s="4"/>
      <c r="KM201" s="4"/>
      <c r="KN201" s="4"/>
      <c r="KO201" s="4"/>
      <c r="KP201" s="4"/>
      <c r="KQ201" s="4"/>
      <c r="KR201" s="4"/>
      <c r="KS201" s="4"/>
      <c r="KT201" s="4"/>
      <c r="KU201" s="4"/>
      <c r="KV201" s="4"/>
      <c r="KW201" s="4"/>
      <c r="KX201" s="4"/>
      <c r="KY201" s="4"/>
      <c r="KZ201" s="4"/>
      <c r="LA201" s="4"/>
      <c r="LB201" s="4"/>
      <c r="LC201" s="4"/>
      <c r="LD201" s="4"/>
      <c r="LE201" s="4"/>
      <c r="LF201" s="4"/>
      <c r="LG201" s="4"/>
      <c r="LH201" s="4"/>
      <c r="LI201" s="4"/>
      <c r="LJ201" s="4"/>
      <c r="LK201" s="4"/>
      <c r="LL201" s="4"/>
      <c r="LM201" s="4"/>
      <c r="LN201" s="4"/>
      <c r="LO201" s="4"/>
      <c r="LP201" s="4"/>
      <c r="LQ201" s="4"/>
      <c r="LR201" s="4"/>
      <c r="LS201" s="4"/>
      <c r="LT201" s="4"/>
      <c r="LU201" s="4"/>
      <c r="LV201" s="4"/>
      <c r="LW201" s="4"/>
      <c r="LX201" s="4"/>
      <c r="LY201" s="4"/>
      <c r="LZ201" s="4"/>
      <c r="MA201" s="4"/>
      <c r="MB201" s="4"/>
      <c r="MC201" s="4"/>
      <c r="MD201" s="4"/>
      <c r="ME201" s="4"/>
      <c r="MF201" s="4"/>
      <c r="MG201" s="4"/>
      <c r="MH201" s="4"/>
      <c r="MI201" s="4"/>
      <c r="MJ201" s="4"/>
      <c r="MK201" s="4"/>
      <c r="ML201" s="4"/>
      <c r="MM201" s="4"/>
      <c r="MN201" s="4"/>
      <c r="MO201" s="4"/>
      <c r="MP201" s="4"/>
      <c r="MQ201" s="4"/>
      <c r="MR201" s="4"/>
      <c r="MS201" s="4"/>
      <c r="MT201" s="4"/>
      <c r="MU201" s="4"/>
      <c r="MV201" s="4"/>
      <c r="MW201" s="4"/>
      <c r="MX201" s="4"/>
      <c r="MY201" s="4"/>
      <c r="MZ201" s="4"/>
      <c r="NA201" s="4"/>
      <c r="NB201" s="4"/>
      <c r="NC201" s="4"/>
      <c r="ND201" s="4"/>
      <c r="NE201" s="4"/>
      <c r="NF201" s="4"/>
      <c r="NG201" s="4"/>
      <c r="NH201" s="4"/>
      <c r="NI201" s="4"/>
      <c r="NJ201" s="4"/>
      <c r="NK201" s="4"/>
      <c r="NL201" s="4"/>
      <c r="NM201" s="4"/>
      <c r="NN201" s="4"/>
      <c r="NO201" s="4"/>
      <c r="NP201" s="4"/>
      <c r="NQ201" s="4"/>
      <c r="NR201" s="4"/>
      <c r="NS201" s="4"/>
      <c r="NT201" s="4"/>
      <c r="NU201" s="4"/>
      <c r="NV201" s="4"/>
      <c r="NW201" s="4"/>
      <c r="NX201" s="4"/>
      <c r="NY201" s="4"/>
      <c r="NZ201" s="4"/>
      <c r="OA201" s="4"/>
      <c r="OB201" s="4"/>
      <c r="OC201" s="4"/>
      <c r="OD201" s="4"/>
      <c r="OE201" s="4"/>
      <c r="OF201" s="4"/>
      <c r="OG201" s="4"/>
      <c r="OH201" s="4"/>
      <c r="OI201" s="4"/>
      <c r="OJ201" s="4"/>
      <c r="OK201" s="4"/>
      <c r="OL201" s="4"/>
      <c r="OM201" s="4"/>
      <c r="ON201" s="4"/>
      <c r="OO201" s="4"/>
      <c r="OP201" s="4"/>
      <c r="OQ201" s="4"/>
      <c r="OR201" s="4"/>
      <c r="OS201" s="4"/>
      <c r="OT201" s="4"/>
      <c r="OU201" s="4"/>
      <c r="OV201" s="4"/>
      <c r="OW201" s="4"/>
      <c r="OX201" s="4"/>
      <c r="OY201" s="4"/>
      <c r="OZ201" s="4"/>
      <c r="PA201" s="4"/>
      <c r="PB201" s="4"/>
      <c r="PC201" s="4"/>
      <c r="PD201" s="4"/>
      <c r="PE201" s="4"/>
      <c r="PF201" s="4"/>
      <c r="PG201" s="4"/>
      <c r="PH201" s="4"/>
      <c r="PI201" s="4"/>
      <c r="PJ201" s="4"/>
      <c r="PK201" s="4"/>
      <c r="PL201" s="4"/>
      <c r="PM201" s="4"/>
      <c r="PN201" s="4"/>
      <c r="PO201" s="4"/>
      <c r="PP201" s="4"/>
      <c r="PQ201" s="4"/>
      <c r="PR201" s="4"/>
      <c r="PS201" s="4"/>
      <c r="PT201" s="4"/>
      <c r="PU201" s="4"/>
      <c r="PV201" s="4"/>
      <c r="PW201" s="4"/>
      <c r="PX201" s="4"/>
      <c r="PY201" s="4"/>
      <c r="PZ201" s="4"/>
      <c r="QA201" s="4"/>
      <c r="QB201" s="4"/>
      <c r="QC201" s="4"/>
      <c r="QD201" s="4"/>
      <c r="QE201" s="4"/>
      <c r="QF201" s="4"/>
      <c r="QG201" s="4"/>
      <c r="QH201" s="4"/>
      <c r="QI201" s="4"/>
      <c r="QJ201" s="4"/>
      <c r="QK201" s="4"/>
      <c r="QL201" s="4"/>
      <c r="QM201" s="4"/>
      <c r="QN201" s="4"/>
      <c r="QO201" s="4"/>
      <c r="QP201" s="4"/>
      <c r="QQ201" s="4"/>
      <c r="QR201" s="4"/>
      <c r="QS201" s="4"/>
      <c r="QT201" s="4"/>
      <c r="QU201" s="4"/>
      <c r="QV201" s="4"/>
      <c r="QW201" s="4"/>
      <c r="QX201" s="4"/>
      <c r="QY201" s="4"/>
      <c r="QZ201" s="4"/>
      <c r="RA201" s="4"/>
      <c r="RB201" s="4"/>
      <c r="RC201" s="4"/>
      <c r="RD201" s="4"/>
      <c r="RE201" s="4"/>
      <c r="RF201" s="4"/>
      <c r="RG201" s="4"/>
      <c r="RH201" s="4"/>
      <c r="RI201" s="4"/>
      <c r="RJ201" s="4"/>
      <c r="RK201" s="4"/>
      <c r="RL201" s="4"/>
      <c r="RM201" s="4"/>
      <c r="RN201" s="4"/>
      <c r="RO201" s="4"/>
      <c r="RP201" s="4"/>
      <c r="RQ201" s="4"/>
      <c r="RR201" s="4"/>
      <c r="RS201" s="4"/>
      <c r="RT201" s="4"/>
      <c r="RU201" s="4"/>
      <c r="RV201" s="4"/>
      <c r="RW201" s="4"/>
      <c r="RX201" s="4"/>
      <c r="RY201" s="4"/>
      <c r="RZ201" s="4"/>
    </row>
    <row r="202" spans="1:494" s="2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</row>
    <row r="203" spans="1:494" s="2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</row>
    <row r="204" spans="1:494" s="2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</row>
    <row r="205" spans="1:494" s="2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</row>
    <row r="206" spans="1:494" s="2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</row>
    <row r="207" spans="1:494" s="2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</row>
    <row r="208" spans="1:494" s="2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</row>
    <row r="209" spans="1:494" s="2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</row>
    <row r="210" spans="1:494" s="2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</row>
    <row r="211" spans="1:494" s="2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</row>
    <row r="212" spans="1:494" s="2" customForma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</row>
    <row r="213" spans="1:494" s="2" customForma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</row>
    <row r="214" spans="1:494" s="2" customForma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</row>
    <row r="215" spans="1:494" s="2" customForma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</row>
    <row r="216" spans="1:494" s="2" customForma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</row>
    <row r="217" spans="1:494" s="2" customForma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</row>
    <row r="218" spans="1:494" s="2" customForma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</row>
    <row r="219" spans="1:494" s="2" customForma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</row>
    <row r="220" spans="1:494" s="2" customForma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</row>
    <row r="221" spans="1:494" s="2" customForma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</row>
    <row r="222" spans="1:494" s="2" customForma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</row>
    <row r="223" spans="1:494" s="2" customForma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</row>
    <row r="224" spans="1:494" s="2" customForma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</row>
    <row r="225" spans="1:494" s="2" customForma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</row>
    <row r="226" spans="1:494" s="2" customForma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</row>
    <row r="227" spans="1:494" s="2" customForma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</row>
    <row r="228" spans="1:494" s="2" customForma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</row>
    <row r="229" spans="1:494" s="2" customForma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</row>
    <row r="230" spans="1:494" s="2" customForma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</row>
    <row r="231" spans="1:494" s="2" customForma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</row>
    <row r="232" spans="1:494" s="2" customForma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</row>
    <row r="233" spans="1:494" s="2" customForma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</row>
    <row r="234" spans="1:494" s="2" customForma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</row>
    <row r="235" spans="1:494" s="2" customForma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</row>
    <row r="236" spans="1:494" s="2" customForma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</row>
    <row r="237" spans="1:494" s="2" customForma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</row>
    <row r="238" spans="1:494" s="2" customForma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</row>
    <row r="239" spans="1:494" s="2" customForma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</row>
    <row r="240" spans="1:494" s="2" customForma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</row>
    <row r="241" spans="1:494" s="2" customForma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</row>
    <row r="242" spans="1:494" s="2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</row>
    <row r="243" spans="1:494" s="2" customForma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</row>
    <row r="244" spans="1:494" s="2" customForma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</row>
    <row r="245" spans="1:494" s="2" customForma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</row>
    <row r="246" spans="1:494" s="2" customForma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</row>
    <row r="247" spans="1:494" s="2" customForma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</row>
    <row r="248" spans="1:494" s="2" customForma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</row>
    <row r="249" spans="1:494" s="2" customForma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</row>
    <row r="250" spans="1:494" s="2" customForma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</row>
    <row r="251" spans="1:494" s="2" customForma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</row>
    <row r="252" spans="1:494" s="2" customForma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</row>
    <row r="253" spans="1:494" s="2" customForma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</row>
    <row r="254" spans="1:494" s="2" customForma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</row>
    <row r="255" spans="1:494" s="2" customForma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</row>
    <row r="256" spans="1:494" s="2" customForma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</row>
    <row r="257" spans="1:494" s="2" customForma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</row>
    <row r="258" spans="1:494" s="2" customForma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</row>
    <row r="259" spans="1:494" s="2" customForma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</row>
    <row r="260" spans="1:494" s="2" customForma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</row>
    <row r="261" spans="1:494" s="2" customForma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</row>
    <row r="262" spans="1:494" s="2" customForma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</row>
    <row r="263" spans="1:494" s="2" customForma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</row>
    <row r="264" spans="1:494" s="2" customForma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</row>
    <row r="265" spans="1:494" s="2" customForma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</row>
    <row r="266" spans="1:494" s="2" customForma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</row>
    <row r="267" spans="1:494" s="2" customForma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</row>
    <row r="268" spans="1:494" s="2" customForma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</row>
    <row r="269" spans="1:494" s="2" customForma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</row>
    <row r="270" spans="1:494" s="2" customForma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</row>
    <row r="271" spans="1:494" s="2" customForma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</row>
    <row r="272" spans="1:494" s="2" customForma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</row>
    <row r="273" spans="1:494" s="2" customForma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</row>
    <row r="274" spans="1:494" s="2" customForma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</row>
    <row r="275" spans="1:494" s="2" customForma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</row>
    <row r="276" spans="1:494" s="2" customForma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</row>
    <row r="277" spans="1:494" s="2" customForma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</row>
    <row r="278" spans="1:494" s="2" customForma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</row>
    <row r="279" spans="1:494" s="2" customForma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</row>
    <row r="280" spans="1:494" s="2" customForma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</row>
    <row r="281" spans="1:494" s="2" customForma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</row>
    <row r="282" spans="1:494" s="2" customForma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</row>
    <row r="283" spans="1:494" s="2" customForma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</row>
    <row r="284" spans="1:494" s="2" customForma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</row>
    <row r="285" spans="1:494" s="2" customForma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</row>
    <row r="286" spans="1:494" s="2" customForma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</row>
    <row r="287" spans="1:494" s="2" customForma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</row>
    <row r="288" spans="1:494" s="2" customForma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</row>
    <row r="289" spans="1:494" s="2" customForma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</row>
    <row r="290" spans="1:494" s="2" customForma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</row>
    <row r="291" spans="1:494" s="2" customForma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</row>
    <row r="292" spans="1:494" s="2" customForma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</row>
    <row r="293" spans="1:494" s="2" customForma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</row>
    <row r="294" spans="1:494" s="2" customForma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</row>
    <row r="295" spans="1:494" s="2" customForma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</row>
    <row r="296" spans="1:494" s="2" customForma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</row>
    <row r="297" spans="1:494" s="2" customForma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</row>
    <row r="298" spans="1:494" s="2" customForma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</row>
    <row r="299" spans="1:494" s="2" customForma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</row>
    <row r="300" spans="1:494" s="2" customForma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</row>
    <row r="301" spans="1:494" s="2" customForma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</row>
    <row r="302" spans="1:494" s="2" customForma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</row>
    <row r="303" spans="1:494" s="2" customForma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</row>
    <row r="304" spans="1:494" s="2" customForma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</row>
    <row r="305" spans="1:494" s="2" customForma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</row>
    <row r="306" spans="1:494" s="2" customForma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</row>
    <row r="307" spans="1:494" s="2" customForma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</row>
    <row r="308" spans="1:494" s="2" customForma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</row>
    <row r="309" spans="1:494" s="2" customForma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</row>
    <row r="310" spans="1:494" s="2" customForma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</row>
    <row r="311" spans="1:494" s="2" customForma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</row>
    <row r="312" spans="1:494" s="2" customForma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</row>
    <row r="313" spans="1:494" s="2" customForma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</row>
    <row r="314" spans="1:494" s="2" customForma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</row>
    <row r="315" spans="1:494" s="2" customForma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</row>
    <row r="316" spans="1:494" s="2" customForma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</row>
    <row r="317" spans="1:494" s="2" customForma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</row>
    <row r="318" spans="1:494" s="2" customForma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</row>
    <row r="319" spans="1:494" s="2" customForma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</row>
    <row r="320" spans="1:494" s="2" customForma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</row>
    <row r="321" spans="1:494" s="2" customForma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</row>
    <row r="322" spans="1:494" s="2" customForma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</row>
    <row r="323" spans="1:494" s="2" customForma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</row>
    <row r="324" spans="1:494" s="2" customForma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</row>
    <row r="325" spans="1:494" s="2" customForma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</row>
    <row r="326" spans="1:494" s="2" customForma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</row>
    <row r="327" spans="1:494" s="2" customForma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</row>
    <row r="328" spans="1:494" s="2" customForma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</row>
    <row r="329" spans="1:494" s="2" customForma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</row>
    <row r="330" spans="1:494" s="2" customForma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</row>
    <row r="331" spans="1:494" s="2" customForma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</row>
    <row r="332" spans="1:494" s="2" customForma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</row>
    <row r="333" spans="1:494" s="2" customForma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</row>
    <row r="334" spans="1:494" s="2" customForma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</row>
    <row r="335" spans="1:494" s="2" customForma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</row>
    <row r="336" spans="1:494" s="2" customForma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</row>
    <row r="337" spans="1:494" s="2" customForma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</row>
    <row r="338" spans="1:494" s="2" customForma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</row>
    <row r="339" spans="1:494" s="2" customForma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</row>
    <row r="340" spans="1:494" s="2" customForma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</row>
    <row r="341" spans="1:494" s="2" customForma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</row>
    <row r="342" spans="1:494" s="2" customForma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</row>
    <row r="343" spans="1:494" s="2" customForma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</row>
    <row r="370" spans="1:494" s="5" customForma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</row>
    <row r="371" spans="1:494" s="5" customForma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</row>
    <row r="372" spans="1:494" s="5" customForma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</row>
    <row r="373" spans="1:494" s="5" customForma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</row>
    <row r="374" spans="1:494" s="5" customForma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</row>
    <row r="375" spans="1:494" s="5" customForma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</row>
    <row r="376" spans="1:494" s="5" customForma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</row>
    <row r="377" spans="1:494" s="5" customForma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</row>
    <row r="378" spans="1:494" s="5" customForma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</row>
    <row r="379" spans="1:494" s="5" customForma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</row>
    <row r="380" spans="1:494" s="5" customForma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</row>
    <row r="381" spans="1:494" s="5" customForma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</row>
    <row r="382" spans="1:494" s="5" customForma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</row>
    <row r="383" spans="1:494" s="5" customForma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</row>
    <row r="384" spans="1:494" s="5" customForma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</row>
    <row r="385" spans="1:494" s="5" customForma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</row>
    <row r="402" spans="1:494" s="5" customForma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</row>
    <row r="403" spans="1:494" s="5" customForma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</row>
    <row r="404" spans="1:494" s="5" customForma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</row>
    <row r="405" spans="1:494" s="5" customForma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</row>
    <row r="406" spans="1:494" s="5" customForma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</row>
    <row r="407" spans="1:494" s="5" customForma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</row>
    <row r="408" spans="1:494" s="5" customForma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</row>
    <row r="409" spans="1:494" s="5" customForma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</row>
    <row r="410" spans="1:494" s="5" customForma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</row>
    <row r="411" spans="1:494" s="5" customForma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</row>
    <row r="412" spans="1:494" s="5" customForma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</row>
    <row r="413" spans="1:494" s="5" customForma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</row>
    <row r="414" spans="1:494" s="5" customForma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</row>
    <row r="415" spans="1:494" s="5" customForma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</row>
    <row r="416" spans="1:494" s="5" customForma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</row>
    <row r="417" spans="1:494" s="5" customForma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</row>
  </sheetData>
  <sortState xmlns:xlrd2="http://schemas.microsoft.com/office/spreadsheetml/2017/richdata2" ref="L31:L55">
    <sortCondition ref="L31"/>
  </sortState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Z32"/>
  <sheetViews>
    <sheetView zoomScale="85" zoomScaleNormal="85" workbookViewId="0">
      <selection sqref="A1:C1"/>
    </sheetView>
  </sheetViews>
  <sheetFormatPr defaultRowHeight="12.75" x14ac:dyDescent="0.2"/>
  <cols>
    <col min="1" max="1" width="7.42578125" style="19" bestFit="1" customWidth="1"/>
    <col min="2" max="2" width="17.85546875" style="19" bestFit="1" customWidth="1"/>
    <col min="3" max="3" width="7.28515625" style="19" bestFit="1" customWidth="1"/>
    <col min="4" max="4" width="7.42578125" style="19" bestFit="1" customWidth="1"/>
    <col min="5" max="5" width="17.85546875" style="19" bestFit="1" customWidth="1"/>
    <col min="6" max="6" width="7.28515625" style="19" bestFit="1" customWidth="1"/>
    <col min="7" max="7" width="7.42578125" style="19" bestFit="1" customWidth="1"/>
    <col min="8" max="8" width="17.85546875" style="19" bestFit="1" customWidth="1"/>
    <col min="9" max="9" width="7.28515625" style="19" bestFit="1" customWidth="1"/>
    <col min="10" max="10" width="7.42578125" style="19" bestFit="1" customWidth="1"/>
    <col min="11" max="11" width="17.85546875" style="19" bestFit="1" customWidth="1"/>
    <col min="12" max="12" width="7.28515625" style="19" bestFit="1" customWidth="1"/>
    <col min="13" max="13" width="7.42578125" style="19" bestFit="1" customWidth="1"/>
    <col min="14" max="14" width="17.85546875" style="19" bestFit="1" customWidth="1"/>
    <col min="15" max="15" width="7.28515625" style="19" bestFit="1" customWidth="1"/>
    <col min="16" max="16" width="7.42578125" style="19" bestFit="1" customWidth="1"/>
    <col min="17" max="17" width="17.85546875" style="19" bestFit="1" customWidth="1"/>
    <col min="18" max="18" width="7.28515625" style="19" bestFit="1" customWidth="1"/>
    <col min="19" max="19" width="7.42578125" style="19" bestFit="1" customWidth="1"/>
    <col min="20" max="20" width="17.85546875" style="19" bestFit="1" customWidth="1"/>
    <col min="21" max="21" width="7.28515625" style="19" bestFit="1" customWidth="1"/>
    <col min="22" max="22" width="7.42578125" style="19" bestFit="1" customWidth="1"/>
    <col min="23" max="23" width="17.85546875" style="19" bestFit="1" customWidth="1"/>
    <col min="24" max="24" width="7.28515625" style="19" bestFit="1" customWidth="1"/>
    <col min="25" max="25" width="7.42578125" style="19" bestFit="1" customWidth="1"/>
    <col min="26" max="26" width="17.85546875" style="19" bestFit="1" customWidth="1"/>
    <col min="27" max="130" width="8.7109375" style="19"/>
  </cols>
  <sheetData>
    <row r="1" spans="1:16" x14ac:dyDescent="0.2">
      <c r="A1" s="76" t="s">
        <v>19</v>
      </c>
      <c r="B1" s="76"/>
      <c r="C1" s="76"/>
      <c r="D1" s="76" t="s">
        <v>20</v>
      </c>
      <c r="E1" s="76"/>
      <c r="F1" s="76"/>
      <c r="G1" s="76" t="s">
        <v>21</v>
      </c>
      <c r="H1" s="76"/>
      <c r="I1" s="76"/>
      <c r="J1" s="76"/>
      <c r="K1" s="76"/>
      <c r="L1" s="76"/>
      <c r="N1" s="26"/>
      <c r="O1" s="26"/>
      <c r="P1" s="26"/>
    </row>
    <row r="2" spans="1:16" x14ac:dyDescent="0.2">
      <c r="A2" s="19" t="s">
        <v>77</v>
      </c>
      <c r="B2" s="19" t="s">
        <v>78</v>
      </c>
      <c r="C2" s="19" t="s">
        <v>79</v>
      </c>
      <c r="D2" s="61" t="s">
        <v>77</v>
      </c>
      <c r="E2" s="19" t="s">
        <v>78</v>
      </c>
      <c r="F2" s="19" t="s">
        <v>79</v>
      </c>
      <c r="G2" s="61" t="s">
        <v>77</v>
      </c>
      <c r="H2" s="19" t="s">
        <v>78</v>
      </c>
      <c r="I2" s="19" t="s">
        <v>79</v>
      </c>
      <c r="N2" s="26"/>
      <c r="O2" s="26"/>
      <c r="P2" s="26"/>
    </row>
    <row r="3" spans="1:16" x14ac:dyDescent="0.2">
      <c r="A3" s="42">
        <v>1</v>
      </c>
      <c r="B3" s="19">
        <v>600</v>
      </c>
      <c r="C3" s="19">
        <v>21</v>
      </c>
      <c r="D3" s="42">
        <v>1</v>
      </c>
      <c r="E3" s="19">
        <v>235</v>
      </c>
      <c r="F3" s="19">
        <v>4</v>
      </c>
      <c r="G3" s="43">
        <v>1</v>
      </c>
      <c r="H3" s="19">
        <v>569</v>
      </c>
      <c r="I3" s="19">
        <v>27</v>
      </c>
      <c r="N3" s="26"/>
      <c r="O3" s="26"/>
      <c r="P3" s="26"/>
    </row>
    <row r="4" spans="1:16" x14ac:dyDescent="0.2">
      <c r="A4" s="42">
        <v>0.96699999999999997</v>
      </c>
      <c r="B4" s="19">
        <v>194</v>
      </c>
      <c r="C4" s="19">
        <v>27</v>
      </c>
      <c r="D4" s="42">
        <v>0.96699999999999997</v>
      </c>
      <c r="E4" s="19">
        <v>179</v>
      </c>
      <c r="F4" s="19">
        <v>22</v>
      </c>
      <c r="G4" s="43">
        <v>0.96699999999999997</v>
      </c>
      <c r="H4" s="19">
        <v>355</v>
      </c>
      <c r="I4" s="19">
        <v>25</v>
      </c>
      <c r="N4" s="26"/>
      <c r="O4" s="26"/>
      <c r="P4" s="26"/>
    </row>
    <row r="5" spans="1:16" x14ac:dyDescent="0.2">
      <c r="A5" s="42">
        <v>0.93300000000000005</v>
      </c>
      <c r="B5" s="19">
        <v>185</v>
      </c>
      <c r="C5" s="19">
        <v>19</v>
      </c>
      <c r="D5" s="42">
        <v>0.93300000000000005</v>
      </c>
      <c r="E5" s="19">
        <v>117</v>
      </c>
      <c r="F5" s="19">
        <v>7</v>
      </c>
      <c r="G5" s="43">
        <v>0.93300000000000005</v>
      </c>
      <c r="H5" s="19">
        <v>217</v>
      </c>
      <c r="I5" s="19">
        <v>11</v>
      </c>
    </row>
    <row r="6" spans="1:16" x14ac:dyDescent="0.2">
      <c r="A6" s="42">
        <v>0.9</v>
      </c>
      <c r="B6" s="19">
        <v>101</v>
      </c>
      <c r="C6" s="19">
        <v>26</v>
      </c>
      <c r="D6" s="42">
        <v>0.9</v>
      </c>
      <c r="E6" s="19">
        <v>100</v>
      </c>
      <c r="F6" s="19">
        <v>1</v>
      </c>
      <c r="G6" s="43">
        <v>0.9</v>
      </c>
      <c r="H6" s="19">
        <v>142</v>
      </c>
      <c r="I6" s="19">
        <v>28</v>
      </c>
    </row>
    <row r="7" spans="1:16" x14ac:dyDescent="0.2">
      <c r="A7" s="42">
        <v>0.86699999999999999</v>
      </c>
      <c r="B7" s="19">
        <v>91</v>
      </c>
      <c r="C7" s="19">
        <v>16</v>
      </c>
      <c r="D7" s="42">
        <v>0.86699999999999999</v>
      </c>
      <c r="E7" s="19">
        <v>94</v>
      </c>
      <c r="F7" s="19">
        <v>12</v>
      </c>
      <c r="G7" s="43">
        <v>0.86699999999999999</v>
      </c>
      <c r="H7" s="19">
        <v>126</v>
      </c>
      <c r="I7" s="19">
        <v>22</v>
      </c>
    </row>
    <row r="8" spans="1:16" x14ac:dyDescent="0.2">
      <c r="A8" s="42">
        <v>0.83299999999999996</v>
      </c>
      <c r="B8" s="19">
        <v>69</v>
      </c>
      <c r="C8" s="19">
        <v>4</v>
      </c>
      <c r="D8" s="42">
        <v>0.83299999999999996</v>
      </c>
      <c r="E8" s="19">
        <v>78</v>
      </c>
      <c r="F8" s="19">
        <v>17</v>
      </c>
      <c r="G8" s="43">
        <v>0.83299999999999996</v>
      </c>
      <c r="H8" s="19">
        <v>88</v>
      </c>
      <c r="I8" s="19">
        <v>8</v>
      </c>
    </row>
    <row r="9" spans="1:16" x14ac:dyDescent="0.2">
      <c r="A9" s="42">
        <v>0.8</v>
      </c>
      <c r="B9" s="19">
        <v>65</v>
      </c>
      <c r="C9" s="19">
        <v>25</v>
      </c>
      <c r="D9" s="42">
        <v>0.8</v>
      </c>
      <c r="E9" s="19">
        <v>78</v>
      </c>
      <c r="F9" s="19">
        <v>2</v>
      </c>
      <c r="G9" s="43">
        <v>0.8</v>
      </c>
      <c r="H9" s="19">
        <v>81</v>
      </c>
      <c r="I9" s="19">
        <v>2</v>
      </c>
    </row>
    <row r="10" spans="1:16" x14ac:dyDescent="0.2">
      <c r="A10" s="42">
        <v>0.76700000000000002</v>
      </c>
      <c r="B10" s="19">
        <v>65</v>
      </c>
      <c r="C10" s="19">
        <v>23</v>
      </c>
      <c r="D10" s="42">
        <v>0.76700000000000002</v>
      </c>
      <c r="E10" s="19">
        <v>46</v>
      </c>
      <c r="F10" s="19">
        <v>18</v>
      </c>
      <c r="G10" s="43">
        <v>0.76700000000000002</v>
      </c>
      <c r="H10" s="19">
        <v>68</v>
      </c>
      <c r="I10" s="19">
        <v>26</v>
      </c>
    </row>
    <row r="11" spans="1:16" x14ac:dyDescent="0.2">
      <c r="A11" s="42">
        <v>0.73299999999999998</v>
      </c>
      <c r="B11" s="19">
        <v>58</v>
      </c>
      <c r="C11" s="19">
        <v>1</v>
      </c>
      <c r="D11" s="42">
        <v>0.73299999999999998</v>
      </c>
      <c r="E11" s="19">
        <v>46</v>
      </c>
      <c r="F11" s="19">
        <v>9</v>
      </c>
      <c r="G11" s="43">
        <v>0.73299999999999998</v>
      </c>
      <c r="H11" s="19">
        <v>53</v>
      </c>
      <c r="I11" s="19">
        <v>20</v>
      </c>
    </row>
    <row r="12" spans="1:16" x14ac:dyDescent="0.2">
      <c r="A12" s="42">
        <v>0.7</v>
      </c>
      <c r="B12" s="19">
        <v>54</v>
      </c>
      <c r="C12" s="19">
        <v>11</v>
      </c>
      <c r="D12" s="42">
        <v>0.7</v>
      </c>
      <c r="E12" s="19">
        <v>43</v>
      </c>
      <c r="F12" s="19">
        <v>30</v>
      </c>
      <c r="G12" s="43">
        <v>0.7</v>
      </c>
      <c r="H12" s="19">
        <v>50</v>
      </c>
      <c r="I12" s="19">
        <v>30</v>
      </c>
    </row>
    <row r="13" spans="1:16" x14ac:dyDescent="0.2">
      <c r="A13" s="42">
        <v>0.66700000000000004</v>
      </c>
      <c r="B13" s="19">
        <v>49</v>
      </c>
      <c r="C13" s="19">
        <v>30</v>
      </c>
      <c r="D13" s="42">
        <v>0.66700000000000004</v>
      </c>
      <c r="E13" s="19">
        <v>40</v>
      </c>
      <c r="F13" s="19">
        <v>10</v>
      </c>
      <c r="G13" s="43">
        <v>0.66700000000000004</v>
      </c>
      <c r="H13" s="19">
        <v>44</v>
      </c>
      <c r="I13" s="19">
        <v>18</v>
      </c>
    </row>
    <row r="14" spans="1:16" x14ac:dyDescent="0.2">
      <c r="A14" s="42">
        <v>0.63300000000000001</v>
      </c>
      <c r="B14" s="19">
        <v>37</v>
      </c>
      <c r="C14" s="19">
        <v>28</v>
      </c>
      <c r="D14" s="42">
        <v>0.63300000000000001</v>
      </c>
      <c r="E14" s="19">
        <v>39</v>
      </c>
      <c r="F14" s="19">
        <v>28</v>
      </c>
      <c r="G14" s="43">
        <v>0.63300000000000001</v>
      </c>
      <c r="H14" s="19">
        <v>41</v>
      </c>
      <c r="I14" s="19">
        <v>29</v>
      </c>
    </row>
    <row r="15" spans="1:16" x14ac:dyDescent="0.2">
      <c r="A15" s="42">
        <v>0.6</v>
      </c>
      <c r="B15" s="19">
        <v>33</v>
      </c>
      <c r="C15" s="19">
        <v>5</v>
      </c>
      <c r="D15" s="42">
        <v>0.6</v>
      </c>
      <c r="E15" s="19">
        <v>36</v>
      </c>
      <c r="F15" s="19">
        <v>14</v>
      </c>
      <c r="G15" s="43">
        <v>0.6</v>
      </c>
      <c r="H15" s="19">
        <v>39</v>
      </c>
      <c r="I15" s="19">
        <v>15</v>
      </c>
    </row>
    <row r="16" spans="1:16" x14ac:dyDescent="0.2">
      <c r="A16" s="42">
        <v>0.56699999999999995</v>
      </c>
      <c r="B16" s="19">
        <v>32</v>
      </c>
      <c r="C16" s="19">
        <v>6</v>
      </c>
      <c r="D16" s="42">
        <v>0.56699999999999995</v>
      </c>
      <c r="E16" s="19">
        <v>33</v>
      </c>
      <c r="F16" s="19">
        <v>5</v>
      </c>
      <c r="G16" s="43">
        <v>0.56699999999999995</v>
      </c>
      <c r="H16" s="19">
        <v>30</v>
      </c>
      <c r="I16" s="19">
        <v>1</v>
      </c>
    </row>
    <row r="17" spans="1:9" x14ac:dyDescent="0.2">
      <c r="A17" s="42">
        <v>0.53300000000000003</v>
      </c>
      <c r="B17" s="19">
        <v>29</v>
      </c>
      <c r="C17" s="19">
        <v>17</v>
      </c>
      <c r="D17" s="42">
        <v>0.53300000000000003</v>
      </c>
      <c r="E17" s="19">
        <v>25</v>
      </c>
      <c r="F17" s="19">
        <v>25</v>
      </c>
      <c r="G17" s="43">
        <v>0.53300000000000003</v>
      </c>
      <c r="H17" s="19">
        <v>23</v>
      </c>
      <c r="I17" s="19">
        <v>12</v>
      </c>
    </row>
    <row r="18" spans="1:9" x14ac:dyDescent="0.2">
      <c r="A18" s="42">
        <v>0.5</v>
      </c>
      <c r="B18" s="19">
        <v>29</v>
      </c>
      <c r="C18" s="19">
        <v>15</v>
      </c>
      <c r="D18" s="42">
        <v>0.5</v>
      </c>
      <c r="E18" s="19">
        <v>22</v>
      </c>
      <c r="F18" s="19">
        <v>26</v>
      </c>
      <c r="G18" s="43">
        <v>0.5</v>
      </c>
      <c r="H18" s="19">
        <v>19</v>
      </c>
      <c r="I18" s="19">
        <v>19</v>
      </c>
    </row>
    <row r="19" spans="1:9" x14ac:dyDescent="0.2">
      <c r="A19" s="42">
        <v>0.46700000000000003</v>
      </c>
      <c r="B19" s="19">
        <v>27</v>
      </c>
      <c r="C19" s="19">
        <v>12</v>
      </c>
      <c r="D19" s="42">
        <v>0.46700000000000003</v>
      </c>
      <c r="E19" s="19">
        <v>21</v>
      </c>
      <c r="F19" s="19">
        <v>20</v>
      </c>
      <c r="G19" s="43">
        <v>0.46700000000000003</v>
      </c>
      <c r="H19" s="19">
        <v>19</v>
      </c>
      <c r="I19" s="19">
        <v>9</v>
      </c>
    </row>
    <row r="20" spans="1:9" x14ac:dyDescent="0.2">
      <c r="A20" s="42">
        <v>0.433</v>
      </c>
      <c r="B20" s="19">
        <v>27</v>
      </c>
      <c r="C20" s="19">
        <v>8</v>
      </c>
      <c r="D20" s="42">
        <v>0.433</v>
      </c>
      <c r="E20" s="19">
        <v>21</v>
      </c>
      <c r="F20" s="19">
        <v>8</v>
      </c>
      <c r="G20" s="43">
        <v>0.433</v>
      </c>
      <c r="H20" s="19">
        <v>18</v>
      </c>
      <c r="I20" s="19">
        <v>13</v>
      </c>
    </row>
    <row r="21" spans="1:9" x14ac:dyDescent="0.2">
      <c r="A21" s="43">
        <v>0.4</v>
      </c>
      <c r="B21" s="19">
        <v>25</v>
      </c>
      <c r="C21" s="19">
        <v>14</v>
      </c>
      <c r="D21" s="42">
        <v>0.4</v>
      </c>
      <c r="E21" s="19">
        <v>20</v>
      </c>
      <c r="F21" s="19">
        <v>21</v>
      </c>
      <c r="G21" s="43">
        <v>0.4</v>
      </c>
      <c r="H21" s="19">
        <v>18</v>
      </c>
      <c r="I21" s="19">
        <v>10</v>
      </c>
    </row>
    <row r="22" spans="1:9" x14ac:dyDescent="0.2">
      <c r="A22" s="43">
        <v>0.36699999999999999</v>
      </c>
      <c r="B22" s="19">
        <v>25</v>
      </c>
      <c r="C22" s="19">
        <v>7</v>
      </c>
      <c r="D22" s="42">
        <v>0.36699999999999999</v>
      </c>
      <c r="E22" s="19">
        <v>19</v>
      </c>
      <c r="F22" s="19">
        <v>27</v>
      </c>
      <c r="G22" s="43">
        <v>0.36699999999999999</v>
      </c>
      <c r="H22" s="19">
        <v>14</v>
      </c>
      <c r="I22" s="19">
        <v>17</v>
      </c>
    </row>
    <row r="23" spans="1:9" x14ac:dyDescent="0.2">
      <c r="A23" s="43">
        <v>0.33300000000000002</v>
      </c>
      <c r="B23" s="19">
        <v>23</v>
      </c>
      <c r="C23" s="19">
        <v>22</v>
      </c>
      <c r="D23" s="43">
        <v>0.33300000000000002</v>
      </c>
      <c r="E23" s="19">
        <v>19</v>
      </c>
      <c r="F23" s="19">
        <v>3</v>
      </c>
      <c r="G23" s="43">
        <v>0.33300000000000002</v>
      </c>
      <c r="H23" s="19">
        <v>14</v>
      </c>
      <c r="I23" s="19">
        <v>3</v>
      </c>
    </row>
    <row r="24" spans="1:9" x14ac:dyDescent="0.2">
      <c r="A24" s="43">
        <v>0.3</v>
      </c>
      <c r="B24" s="19">
        <v>21</v>
      </c>
      <c r="C24" s="19">
        <v>24</v>
      </c>
      <c r="D24" s="43">
        <v>0.3</v>
      </c>
      <c r="E24" s="19">
        <v>17</v>
      </c>
      <c r="F24" s="19">
        <v>15</v>
      </c>
      <c r="G24" s="43">
        <v>0.3</v>
      </c>
      <c r="H24" s="19">
        <v>9</v>
      </c>
      <c r="I24" s="19">
        <v>14</v>
      </c>
    </row>
    <row r="25" spans="1:9" x14ac:dyDescent="0.2">
      <c r="A25" s="43">
        <v>0.26700000000000002</v>
      </c>
      <c r="B25" s="19">
        <v>20</v>
      </c>
      <c r="C25" s="19">
        <v>3</v>
      </c>
      <c r="D25" s="43">
        <v>0.26700000000000002</v>
      </c>
      <c r="E25" s="19">
        <v>15</v>
      </c>
      <c r="F25" s="19">
        <v>23</v>
      </c>
      <c r="G25" s="43">
        <v>0.26700000000000002</v>
      </c>
      <c r="H25" s="19">
        <v>8</v>
      </c>
      <c r="I25" s="19">
        <v>24</v>
      </c>
    </row>
    <row r="26" spans="1:9" x14ac:dyDescent="0.2">
      <c r="A26" s="43">
        <v>0.23300000000000001</v>
      </c>
      <c r="B26" s="19">
        <v>13</v>
      </c>
      <c r="C26" s="19">
        <v>13</v>
      </c>
      <c r="D26" s="43">
        <v>0.23300000000000001</v>
      </c>
      <c r="E26" s="19">
        <v>12</v>
      </c>
      <c r="F26" s="19">
        <v>16</v>
      </c>
      <c r="G26" s="43">
        <v>0.23300000000000001</v>
      </c>
      <c r="H26" s="19">
        <v>7</v>
      </c>
      <c r="I26" s="19">
        <v>4</v>
      </c>
    </row>
    <row r="27" spans="1:9" x14ac:dyDescent="0.2">
      <c r="A27" s="43">
        <v>0.2</v>
      </c>
      <c r="B27" s="19">
        <v>8</v>
      </c>
      <c r="C27" s="19">
        <v>9</v>
      </c>
      <c r="D27" s="43">
        <v>0.2</v>
      </c>
      <c r="E27" s="19">
        <v>10</v>
      </c>
      <c r="F27" s="19">
        <v>13</v>
      </c>
      <c r="G27" s="43">
        <v>0.2</v>
      </c>
      <c r="H27" s="19">
        <v>6</v>
      </c>
      <c r="I27" s="19">
        <v>21</v>
      </c>
    </row>
    <row r="28" spans="1:9" x14ac:dyDescent="0.2">
      <c r="A28" s="43">
        <v>0.16700000000000001</v>
      </c>
      <c r="B28" s="19">
        <v>7</v>
      </c>
      <c r="C28" s="19">
        <v>20</v>
      </c>
      <c r="D28" s="43">
        <v>0.16700000000000001</v>
      </c>
      <c r="E28" s="19">
        <v>9</v>
      </c>
      <c r="F28" s="19">
        <v>24</v>
      </c>
      <c r="G28" s="43">
        <v>0.16700000000000001</v>
      </c>
      <c r="H28" s="19">
        <v>6</v>
      </c>
      <c r="I28" s="19">
        <v>6</v>
      </c>
    </row>
    <row r="29" spans="1:9" x14ac:dyDescent="0.2">
      <c r="A29" s="43">
        <v>0.13300000000000001</v>
      </c>
      <c r="B29" s="19">
        <v>6</v>
      </c>
      <c r="C29" s="19">
        <v>2</v>
      </c>
      <c r="D29" s="43">
        <v>0.13300000000000001</v>
      </c>
      <c r="E29" s="19">
        <v>4</v>
      </c>
      <c r="F29" s="19">
        <v>29</v>
      </c>
      <c r="G29" s="43">
        <v>0.13300000000000001</v>
      </c>
      <c r="H29" s="19">
        <v>5</v>
      </c>
      <c r="I29" s="19">
        <v>23</v>
      </c>
    </row>
    <row r="30" spans="1:9" x14ac:dyDescent="0.2">
      <c r="A30" s="43">
        <v>0.1</v>
      </c>
      <c r="B30" s="19">
        <v>2</v>
      </c>
      <c r="C30" s="19">
        <v>18</v>
      </c>
      <c r="D30" s="43">
        <v>0.1</v>
      </c>
      <c r="E30" s="19">
        <v>4</v>
      </c>
      <c r="F30" s="19">
        <v>19</v>
      </c>
      <c r="G30" s="43">
        <v>0.1</v>
      </c>
      <c r="H30" s="19">
        <v>5</v>
      </c>
      <c r="I30" s="19">
        <v>16</v>
      </c>
    </row>
    <row r="31" spans="1:9" x14ac:dyDescent="0.2">
      <c r="A31" s="43">
        <v>6.7000000000000004E-2</v>
      </c>
      <c r="B31" s="19">
        <v>2</v>
      </c>
      <c r="C31" s="19">
        <v>10</v>
      </c>
      <c r="D31" s="43">
        <v>6.7000000000000004E-2</v>
      </c>
      <c r="E31" s="19">
        <v>2</v>
      </c>
      <c r="F31" s="19">
        <v>6</v>
      </c>
      <c r="G31" s="43">
        <v>6.7000000000000004E-2</v>
      </c>
      <c r="H31" s="19">
        <v>4</v>
      </c>
      <c r="I31" s="19">
        <v>5</v>
      </c>
    </row>
    <row r="32" spans="1:9" x14ac:dyDescent="0.2">
      <c r="A32" s="43">
        <v>3.3000000000000002E-2</v>
      </c>
      <c r="B32" s="19">
        <v>1</v>
      </c>
      <c r="C32" s="19">
        <v>29</v>
      </c>
      <c r="D32" s="43">
        <v>3.3000000000000002E-2</v>
      </c>
      <c r="E32" s="19">
        <v>1</v>
      </c>
      <c r="F32" s="19">
        <v>11</v>
      </c>
      <c r="G32" s="43">
        <v>3.3000000000000002E-2</v>
      </c>
      <c r="H32" s="19">
        <v>2</v>
      </c>
      <c r="I32" s="19">
        <v>7</v>
      </c>
    </row>
  </sheetData>
  <mergeCells count="4">
    <mergeCell ref="A1:C1"/>
    <mergeCell ref="D1:F1"/>
    <mergeCell ref="G1:I1"/>
    <mergeCell ref="J1:L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</vt:lpstr>
      <vt:lpstr>Group Data</vt:lpstr>
      <vt:lpstr>Dark Entry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 Ruey-Kuang</dc:creator>
  <cp:lastModifiedBy>Ruey-ASUS</cp:lastModifiedBy>
  <dcterms:created xsi:type="dcterms:W3CDTF">1996-10-14T23:33:28Z</dcterms:created>
  <dcterms:modified xsi:type="dcterms:W3CDTF">2022-04-25T09:26:05Z</dcterms:modified>
</cp:coreProperties>
</file>